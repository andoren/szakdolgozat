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145"/>
  </bookViews>
  <sheets>
    <sheet name="Fabó Editnek" sheetId="36" r:id="rId1"/>
    <sheet name="Szakácsoknak" sheetId="15" r:id="rId2"/>
    <sheet name="Furugy" sheetId="34" r:id="rId3"/>
    <sheet name="Furugy összesen" sheetId="35" r:id="rId4"/>
    <sheet name="Szarvas" sheetId="14" r:id="rId5"/>
    <sheet name="Tanulók" sheetId="27" r:id="rId6"/>
    <sheet name="Szarvas összesen" sheetId="12" r:id="rId7"/>
    <sheet name="Középhalom" sheetId="24" r:id="rId8"/>
    <sheet name="Középhalom összesen" sheetId="25" r:id="rId9"/>
    <sheet name="Szent László" sheetId="22" r:id="rId10"/>
    <sheet name="Szent László összesen" sheetId="23" r:id="rId11"/>
    <sheet name="Csabacsűd" sheetId="16" r:id="rId12"/>
    <sheet name="Csabacsűd összesen" sheetId="19" r:id="rId13"/>
    <sheet name="Örménykút" sheetId="21" r:id="rId14"/>
    <sheet name="Örménykút összesen" sheetId="20" r:id="rId15"/>
    <sheet name="Vajda" sheetId="17" r:id="rId16"/>
    <sheet name="Vajda összesen" sheetId="18" r:id="rId17"/>
    <sheet name="Vajdanévsor" sheetId="31" r:id="rId18"/>
    <sheet name="Szarvasnévsor" sheetId="32" r:id="rId19"/>
    <sheet name="többinévsor" sheetId="33" r:id="rId20"/>
  </sheets>
  <definedNames>
    <definedName name="_xlnm._FilterDatabase" localSheetId="15" hidden="1">Vajda!$A$1:$AG$1</definedName>
    <definedName name="_xlnm.Print_Titles" localSheetId="11">Csabacsűd!$1:$1</definedName>
    <definedName name="_xlnm.Print_Titles" localSheetId="12">'Csabacsűd összesen'!$1:$4</definedName>
    <definedName name="_xlnm.Print_Titles" localSheetId="2">Furugy!$1:$1</definedName>
    <definedName name="_xlnm.Print_Titles" localSheetId="3">'Furugy összesen'!$1:$4</definedName>
    <definedName name="_xlnm.Print_Titles" localSheetId="7">Középhalom!$1:$1</definedName>
    <definedName name="_xlnm.Print_Titles" localSheetId="8">'Középhalom összesen'!$1:$4</definedName>
    <definedName name="_xlnm.Print_Titles" localSheetId="13">Örménykút!$1:$1</definedName>
    <definedName name="_xlnm.Print_Titles" localSheetId="14">'Örménykút összesen'!$1:$4</definedName>
    <definedName name="_xlnm.Print_Titles" localSheetId="4">Szarvas!$1:$1</definedName>
    <definedName name="_xlnm.Print_Titles" localSheetId="6">'Szarvas összesen'!$1:$4</definedName>
    <definedName name="_xlnm.Print_Titles" localSheetId="9">'Szent László'!$1:$1</definedName>
    <definedName name="_xlnm.Print_Titles" localSheetId="10">'Szent László összesen'!$1:$4</definedName>
    <definedName name="_xlnm.Print_Titles" localSheetId="5">Tanulók!$1:$1</definedName>
    <definedName name="_xlnm.Print_Titles" localSheetId="15">Vajda!$1:$1</definedName>
    <definedName name="_xlnm.Print_Titles" localSheetId="16">'Vajda összesen'!$1:$4</definedName>
    <definedName name="_xlnm.Print_Area" localSheetId="0">'Fabó Editnek'!$A$1:$D$35</definedName>
  </definedNames>
  <calcPr calcId="152511"/>
</workbook>
</file>

<file path=xl/calcChain.xml><?xml version="1.0" encoding="utf-8"?>
<calcChain xmlns="http://schemas.openxmlformats.org/spreadsheetml/2006/main">
  <c r="F105" i="12" l="1"/>
  <c r="I98" i="18"/>
  <c r="H98" i="18"/>
  <c r="F98" i="18"/>
  <c r="B99" i="18"/>
  <c r="C6" i="12" l="1"/>
  <c r="D6" i="12"/>
  <c r="C7" i="12"/>
  <c r="D7" i="12"/>
  <c r="C8" i="12"/>
  <c r="D8" i="12"/>
  <c r="C9" i="12"/>
  <c r="D9" i="12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C26" i="12"/>
  <c r="D26" i="12"/>
  <c r="C27" i="12"/>
  <c r="D27" i="12"/>
  <c r="C28" i="12"/>
  <c r="D28" i="12"/>
  <c r="C29" i="12"/>
  <c r="D29" i="12"/>
  <c r="C30" i="12"/>
  <c r="D30" i="12"/>
  <c r="C31" i="12"/>
  <c r="D31" i="12"/>
  <c r="C32" i="12"/>
  <c r="D32" i="12"/>
  <c r="C33" i="12"/>
  <c r="D33" i="12"/>
  <c r="C34" i="12"/>
  <c r="D34" i="12"/>
  <c r="C35" i="12"/>
  <c r="D35" i="12"/>
  <c r="C36" i="12"/>
  <c r="D36" i="12"/>
  <c r="C37" i="12"/>
  <c r="D37" i="12"/>
  <c r="C38" i="12"/>
  <c r="D38" i="12"/>
  <c r="C39" i="12"/>
  <c r="D39" i="12"/>
  <c r="C40" i="12"/>
  <c r="D40" i="12"/>
  <c r="C41" i="12"/>
  <c r="D41" i="12"/>
  <c r="C42" i="12"/>
  <c r="D42" i="12"/>
  <c r="C43" i="12"/>
  <c r="D43" i="12"/>
  <c r="C44" i="12"/>
  <c r="D44" i="12"/>
  <c r="C45" i="12"/>
  <c r="D45" i="12"/>
  <c r="C46" i="12"/>
  <c r="D46" i="12"/>
  <c r="C47" i="12"/>
  <c r="D47" i="12"/>
  <c r="C48" i="12"/>
  <c r="D48" i="12"/>
  <c r="C49" i="12"/>
  <c r="D49" i="12"/>
  <c r="C50" i="12"/>
  <c r="D50" i="12"/>
  <c r="C51" i="12"/>
  <c r="D51" i="12"/>
  <c r="C52" i="12"/>
  <c r="D52" i="12"/>
  <c r="C53" i="12"/>
  <c r="D53" i="12"/>
  <c r="C54" i="12"/>
  <c r="D54" i="12"/>
  <c r="C55" i="12"/>
  <c r="D55" i="12"/>
  <c r="C56" i="12"/>
  <c r="D56" i="12"/>
  <c r="C57" i="12"/>
  <c r="D57" i="12"/>
  <c r="C58" i="12"/>
  <c r="D58" i="12"/>
  <c r="C59" i="12"/>
  <c r="D59" i="12"/>
  <c r="C60" i="12"/>
  <c r="D60" i="12"/>
  <c r="C61" i="12"/>
  <c r="D61" i="12"/>
  <c r="C62" i="12"/>
  <c r="D62" i="12"/>
  <c r="C63" i="12"/>
  <c r="D63" i="12"/>
  <c r="C64" i="12"/>
  <c r="D64" i="12"/>
  <c r="C65" i="12"/>
  <c r="D65" i="12"/>
  <c r="C66" i="12"/>
  <c r="D66" i="12"/>
  <c r="C67" i="12"/>
  <c r="D67" i="12"/>
  <c r="C68" i="12"/>
  <c r="D68" i="12"/>
  <c r="C69" i="12"/>
  <c r="D69" i="12"/>
  <c r="C70" i="12"/>
  <c r="D70" i="12"/>
  <c r="C71" i="12"/>
  <c r="D71" i="12"/>
  <c r="C72" i="12"/>
  <c r="D72" i="12"/>
  <c r="C73" i="12"/>
  <c r="D73" i="12"/>
  <c r="C74" i="12"/>
  <c r="D74" i="12"/>
  <c r="C75" i="12"/>
  <c r="D75" i="12"/>
  <c r="C76" i="12"/>
  <c r="D76" i="12"/>
  <c r="C77" i="12"/>
  <c r="D77" i="12"/>
  <c r="C78" i="12"/>
  <c r="D78" i="12"/>
  <c r="C79" i="12"/>
  <c r="D79" i="12"/>
  <c r="C80" i="12"/>
  <c r="D80" i="12"/>
  <c r="C81" i="12"/>
  <c r="D81" i="12"/>
  <c r="C82" i="12"/>
  <c r="D82" i="12"/>
  <c r="C83" i="12"/>
  <c r="D83" i="12"/>
  <c r="C84" i="12"/>
  <c r="D84" i="12"/>
  <c r="C85" i="12"/>
  <c r="D85" i="12"/>
  <c r="C86" i="12"/>
  <c r="D86" i="12"/>
  <c r="C87" i="12"/>
  <c r="D87" i="12"/>
  <c r="C88" i="12"/>
  <c r="D88" i="12"/>
  <c r="C89" i="12"/>
  <c r="D89" i="12"/>
  <c r="C90" i="12"/>
  <c r="D90" i="12"/>
  <c r="C92" i="12"/>
  <c r="D92" i="12"/>
  <c r="C93" i="12"/>
  <c r="D93" i="12"/>
  <c r="C94" i="12"/>
  <c r="D94" i="12"/>
  <c r="C95" i="12"/>
  <c r="D95" i="12"/>
  <c r="C96" i="12"/>
  <c r="D96" i="12"/>
  <c r="C97" i="12"/>
  <c r="D97" i="12"/>
  <c r="C98" i="12"/>
  <c r="D98" i="12"/>
  <c r="C99" i="12"/>
  <c r="D99" i="12"/>
  <c r="C100" i="12"/>
  <c r="D100" i="12"/>
  <c r="C101" i="12"/>
  <c r="D101" i="12"/>
  <c r="C102" i="12"/>
  <c r="D102" i="12"/>
  <c r="D5" i="12"/>
  <c r="C5" i="12"/>
  <c r="AG75" i="14"/>
  <c r="H102" i="12" s="1"/>
  <c r="AG196" i="14"/>
  <c r="F102" i="12" s="1"/>
  <c r="I102" i="12" l="1"/>
  <c r="AG191" i="14"/>
  <c r="AG68" i="14"/>
  <c r="AG97" i="14"/>
  <c r="AG217" i="14"/>
  <c r="F76" i="12" s="1"/>
  <c r="C97" i="18"/>
  <c r="D97" i="18"/>
  <c r="C243" i="17"/>
  <c r="D243" i="17"/>
  <c r="E243" i="17"/>
  <c r="F243" i="17"/>
  <c r="G243" i="17"/>
  <c r="H243" i="17"/>
  <c r="I243" i="17"/>
  <c r="J243" i="17"/>
  <c r="K243" i="17"/>
  <c r="L243" i="17"/>
  <c r="M243" i="17"/>
  <c r="N243" i="17"/>
  <c r="O243" i="17"/>
  <c r="P243" i="17"/>
  <c r="Q243" i="17"/>
  <c r="R243" i="17"/>
  <c r="S243" i="17"/>
  <c r="T243" i="17"/>
  <c r="U243" i="17"/>
  <c r="V243" i="17"/>
  <c r="W243" i="17"/>
  <c r="X243" i="17"/>
  <c r="Y243" i="17"/>
  <c r="Z243" i="17"/>
  <c r="AA243" i="17"/>
  <c r="AB243" i="17"/>
  <c r="AC243" i="17"/>
  <c r="AD243" i="17"/>
  <c r="AE243" i="17"/>
  <c r="AF243" i="17"/>
  <c r="B243" i="17"/>
  <c r="C217" i="17"/>
  <c r="D217" i="17"/>
  <c r="E217" i="17"/>
  <c r="F217" i="17"/>
  <c r="G217" i="17"/>
  <c r="H217" i="17"/>
  <c r="I217" i="17"/>
  <c r="J217" i="17"/>
  <c r="K217" i="17"/>
  <c r="L217" i="17"/>
  <c r="M217" i="17"/>
  <c r="N217" i="17"/>
  <c r="O217" i="17"/>
  <c r="P217" i="17"/>
  <c r="Q217" i="17"/>
  <c r="R217" i="17"/>
  <c r="S217" i="17"/>
  <c r="T217" i="17"/>
  <c r="U217" i="17"/>
  <c r="V217" i="17"/>
  <c r="W217" i="17"/>
  <c r="X217" i="17"/>
  <c r="Y217" i="17"/>
  <c r="Z217" i="17"/>
  <c r="AA217" i="17"/>
  <c r="AB217" i="17"/>
  <c r="AC217" i="17"/>
  <c r="AD217" i="17"/>
  <c r="AE217" i="17"/>
  <c r="AF217" i="17"/>
  <c r="B217" i="17"/>
  <c r="C211" i="17"/>
  <c r="D211" i="17"/>
  <c r="E211" i="17"/>
  <c r="F211" i="17"/>
  <c r="G211" i="17"/>
  <c r="H211" i="17"/>
  <c r="I211" i="17"/>
  <c r="J211" i="17"/>
  <c r="K211" i="17"/>
  <c r="L211" i="17"/>
  <c r="M211" i="17"/>
  <c r="N211" i="17"/>
  <c r="O211" i="17"/>
  <c r="P211" i="17"/>
  <c r="Q211" i="17"/>
  <c r="R211" i="17"/>
  <c r="S211" i="17"/>
  <c r="T211" i="17"/>
  <c r="U211" i="17"/>
  <c r="V211" i="17"/>
  <c r="W211" i="17"/>
  <c r="X211" i="17"/>
  <c r="Y211" i="17"/>
  <c r="Z211" i="17"/>
  <c r="AA211" i="17"/>
  <c r="AB211" i="17"/>
  <c r="AC211" i="17"/>
  <c r="AD211" i="17"/>
  <c r="AE211" i="17"/>
  <c r="AF211" i="17"/>
  <c r="B211" i="17"/>
  <c r="C208" i="17"/>
  <c r="D208" i="17"/>
  <c r="E208" i="17"/>
  <c r="F208" i="17"/>
  <c r="G208" i="17"/>
  <c r="H208" i="17"/>
  <c r="I208" i="17"/>
  <c r="J208" i="17"/>
  <c r="K208" i="17"/>
  <c r="L208" i="17"/>
  <c r="M208" i="17"/>
  <c r="N208" i="17"/>
  <c r="O208" i="17"/>
  <c r="P208" i="17"/>
  <c r="Q208" i="17"/>
  <c r="R208" i="17"/>
  <c r="S208" i="17"/>
  <c r="T208" i="17"/>
  <c r="U208" i="17"/>
  <c r="V208" i="17"/>
  <c r="W208" i="17"/>
  <c r="X208" i="17"/>
  <c r="Y208" i="17"/>
  <c r="Z208" i="17"/>
  <c r="AA208" i="17"/>
  <c r="AB208" i="17"/>
  <c r="AC208" i="17"/>
  <c r="AD208" i="17"/>
  <c r="AE208" i="17"/>
  <c r="AF208" i="17"/>
  <c r="B208" i="17"/>
  <c r="C182" i="17"/>
  <c r="D182" i="17"/>
  <c r="E182" i="17"/>
  <c r="F182" i="17"/>
  <c r="G182" i="17"/>
  <c r="H182" i="17"/>
  <c r="I182" i="17"/>
  <c r="J182" i="17"/>
  <c r="K182" i="17"/>
  <c r="L182" i="17"/>
  <c r="M182" i="17"/>
  <c r="N182" i="17"/>
  <c r="O182" i="17"/>
  <c r="P182" i="17"/>
  <c r="Q182" i="17"/>
  <c r="R182" i="17"/>
  <c r="S182" i="17"/>
  <c r="T182" i="17"/>
  <c r="U182" i="17"/>
  <c r="V182" i="17"/>
  <c r="W182" i="17"/>
  <c r="X182" i="17"/>
  <c r="Y182" i="17"/>
  <c r="Z182" i="17"/>
  <c r="AA182" i="17"/>
  <c r="AB182" i="17"/>
  <c r="AC182" i="17"/>
  <c r="AD182" i="17"/>
  <c r="AE182" i="17"/>
  <c r="AF182" i="17"/>
  <c r="B182" i="17"/>
  <c r="C165" i="17"/>
  <c r="D165" i="17"/>
  <c r="E165" i="17"/>
  <c r="F165" i="17"/>
  <c r="G165" i="17"/>
  <c r="H165" i="17"/>
  <c r="I165" i="17"/>
  <c r="J165" i="17"/>
  <c r="K165" i="17"/>
  <c r="L165" i="17"/>
  <c r="M165" i="17"/>
  <c r="N165" i="17"/>
  <c r="O165" i="17"/>
  <c r="P165" i="17"/>
  <c r="Q165" i="17"/>
  <c r="R165" i="17"/>
  <c r="S165" i="17"/>
  <c r="T165" i="17"/>
  <c r="U165" i="17"/>
  <c r="V165" i="17"/>
  <c r="W165" i="17"/>
  <c r="X165" i="17"/>
  <c r="Y165" i="17"/>
  <c r="Z165" i="17"/>
  <c r="AA165" i="17"/>
  <c r="AB165" i="17"/>
  <c r="AC165" i="17"/>
  <c r="AD165" i="17"/>
  <c r="AE165" i="17"/>
  <c r="AF165" i="17"/>
  <c r="B165" i="17"/>
  <c r="C160" i="17"/>
  <c r="D160" i="17"/>
  <c r="E160" i="17"/>
  <c r="F160" i="17"/>
  <c r="G160" i="17"/>
  <c r="H160" i="17"/>
  <c r="I160" i="17"/>
  <c r="J160" i="17"/>
  <c r="K160" i="17"/>
  <c r="L160" i="17"/>
  <c r="M160" i="17"/>
  <c r="N160" i="17"/>
  <c r="O160" i="17"/>
  <c r="P160" i="17"/>
  <c r="Q160" i="17"/>
  <c r="R160" i="17"/>
  <c r="S160" i="17"/>
  <c r="T160" i="17"/>
  <c r="U160" i="17"/>
  <c r="V160" i="17"/>
  <c r="W160" i="17"/>
  <c r="X160" i="17"/>
  <c r="Y160" i="17"/>
  <c r="Z160" i="17"/>
  <c r="AA160" i="17"/>
  <c r="AB160" i="17"/>
  <c r="AC160" i="17"/>
  <c r="AD160" i="17"/>
  <c r="AE160" i="17"/>
  <c r="AF160" i="17"/>
  <c r="B160" i="17"/>
  <c r="C153" i="17"/>
  <c r="D153" i="17"/>
  <c r="E153" i="17"/>
  <c r="F153" i="17"/>
  <c r="G153" i="17"/>
  <c r="H153" i="17"/>
  <c r="I153" i="17"/>
  <c r="J153" i="17"/>
  <c r="K153" i="17"/>
  <c r="L153" i="17"/>
  <c r="M153" i="17"/>
  <c r="N153" i="17"/>
  <c r="O153" i="17"/>
  <c r="P153" i="17"/>
  <c r="Q153" i="17"/>
  <c r="R153" i="17"/>
  <c r="S153" i="17"/>
  <c r="T153" i="17"/>
  <c r="U153" i="17"/>
  <c r="V153" i="17"/>
  <c r="W153" i="17"/>
  <c r="X153" i="17"/>
  <c r="Y153" i="17"/>
  <c r="Z153" i="17"/>
  <c r="AA153" i="17"/>
  <c r="AB153" i="17"/>
  <c r="AC153" i="17"/>
  <c r="AD153" i="17"/>
  <c r="AE153" i="17"/>
  <c r="AF153" i="17"/>
  <c r="B153" i="17"/>
  <c r="C146" i="17"/>
  <c r="D146" i="17"/>
  <c r="E146" i="17"/>
  <c r="F146" i="17"/>
  <c r="G146" i="17"/>
  <c r="H146" i="17"/>
  <c r="I146" i="17"/>
  <c r="J146" i="17"/>
  <c r="K146" i="17"/>
  <c r="L146" i="17"/>
  <c r="M146" i="17"/>
  <c r="N146" i="17"/>
  <c r="O146" i="17"/>
  <c r="P146" i="17"/>
  <c r="Q146" i="17"/>
  <c r="R146" i="17"/>
  <c r="S146" i="17"/>
  <c r="T146" i="17"/>
  <c r="U146" i="17"/>
  <c r="V146" i="17"/>
  <c r="W146" i="17"/>
  <c r="X146" i="17"/>
  <c r="Y146" i="17"/>
  <c r="Z146" i="17"/>
  <c r="AA146" i="17"/>
  <c r="AB146" i="17"/>
  <c r="AC146" i="17"/>
  <c r="AD146" i="17"/>
  <c r="AE146" i="17"/>
  <c r="AF146" i="17"/>
  <c r="B146" i="17"/>
  <c r="C134" i="17"/>
  <c r="D134" i="17"/>
  <c r="E134" i="17"/>
  <c r="F134" i="17"/>
  <c r="G134" i="17"/>
  <c r="H134" i="17"/>
  <c r="I134" i="17"/>
  <c r="J134" i="17"/>
  <c r="K134" i="17"/>
  <c r="L134" i="17"/>
  <c r="M134" i="17"/>
  <c r="N134" i="17"/>
  <c r="O134" i="17"/>
  <c r="P134" i="17"/>
  <c r="Q134" i="17"/>
  <c r="R134" i="17"/>
  <c r="S134" i="17"/>
  <c r="T134" i="17"/>
  <c r="U134" i="17"/>
  <c r="V134" i="17"/>
  <c r="W134" i="17"/>
  <c r="X134" i="17"/>
  <c r="Y134" i="17"/>
  <c r="Z134" i="17"/>
  <c r="AA134" i="17"/>
  <c r="AB134" i="17"/>
  <c r="AC134" i="17"/>
  <c r="AD134" i="17"/>
  <c r="AE134" i="17"/>
  <c r="AF134" i="17"/>
  <c r="B134" i="17"/>
  <c r="C131" i="17"/>
  <c r="D131" i="17"/>
  <c r="E131" i="17"/>
  <c r="F131" i="17"/>
  <c r="G131" i="17"/>
  <c r="H131" i="17"/>
  <c r="I131" i="17"/>
  <c r="J131" i="17"/>
  <c r="K131" i="17"/>
  <c r="L131" i="17"/>
  <c r="M131" i="17"/>
  <c r="N131" i="17"/>
  <c r="O131" i="17"/>
  <c r="P131" i="17"/>
  <c r="Q131" i="17"/>
  <c r="R131" i="17"/>
  <c r="S131" i="17"/>
  <c r="T131" i="17"/>
  <c r="U131" i="17"/>
  <c r="V131" i="17"/>
  <c r="W131" i="17"/>
  <c r="X131" i="17"/>
  <c r="Y131" i="17"/>
  <c r="Z131" i="17"/>
  <c r="AA131" i="17"/>
  <c r="AB131" i="17"/>
  <c r="AC131" i="17"/>
  <c r="AD131" i="17"/>
  <c r="AE131" i="17"/>
  <c r="AF131" i="17"/>
  <c r="B131" i="17"/>
  <c r="C128" i="17"/>
  <c r="D128" i="17"/>
  <c r="E128" i="17"/>
  <c r="F128" i="17"/>
  <c r="G128" i="17"/>
  <c r="H128" i="17"/>
  <c r="I128" i="17"/>
  <c r="J128" i="17"/>
  <c r="K128" i="17"/>
  <c r="L128" i="17"/>
  <c r="M128" i="17"/>
  <c r="N128" i="17"/>
  <c r="O128" i="17"/>
  <c r="P128" i="17"/>
  <c r="Q128" i="17"/>
  <c r="R128" i="17"/>
  <c r="S128" i="17"/>
  <c r="T128" i="17"/>
  <c r="U128" i="17"/>
  <c r="V128" i="17"/>
  <c r="W128" i="17"/>
  <c r="X128" i="17"/>
  <c r="Y128" i="17"/>
  <c r="Z128" i="17"/>
  <c r="AA128" i="17"/>
  <c r="AB128" i="17"/>
  <c r="AC128" i="17"/>
  <c r="AD128" i="17"/>
  <c r="AE128" i="17"/>
  <c r="AF128" i="17"/>
  <c r="B128" i="17"/>
  <c r="C122" i="17"/>
  <c r="D122" i="17"/>
  <c r="E122" i="17"/>
  <c r="F122" i="17"/>
  <c r="G122" i="17"/>
  <c r="H122" i="17"/>
  <c r="I122" i="17"/>
  <c r="J122" i="17"/>
  <c r="K122" i="17"/>
  <c r="L122" i="17"/>
  <c r="M122" i="17"/>
  <c r="N122" i="17"/>
  <c r="O122" i="17"/>
  <c r="P122" i="17"/>
  <c r="Q122" i="17"/>
  <c r="R122" i="17"/>
  <c r="S122" i="17"/>
  <c r="T122" i="17"/>
  <c r="U122" i="17"/>
  <c r="V122" i="17"/>
  <c r="W122" i="17"/>
  <c r="X122" i="17"/>
  <c r="Y122" i="17"/>
  <c r="Z122" i="17"/>
  <c r="AA122" i="17"/>
  <c r="AB122" i="17"/>
  <c r="AC122" i="17"/>
  <c r="AD122" i="17"/>
  <c r="AE122" i="17"/>
  <c r="AF122" i="17"/>
  <c r="B122" i="17"/>
  <c r="C96" i="17"/>
  <c r="D96" i="17"/>
  <c r="E96" i="17"/>
  <c r="F96" i="17"/>
  <c r="G96" i="17"/>
  <c r="H96" i="17"/>
  <c r="I96" i="17"/>
  <c r="J96" i="17"/>
  <c r="K96" i="17"/>
  <c r="L96" i="17"/>
  <c r="M96" i="17"/>
  <c r="N96" i="17"/>
  <c r="O96" i="17"/>
  <c r="P96" i="17"/>
  <c r="Q96" i="17"/>
  <c r="R96" i="17"/>
  <c r="S96" i="17"/>
  <c r="T96" i="17"/>
  <c r="U96" i="17"/>
  <c r="V96" i="17"/>
  <c r="W96" i="17"/>
  <c r="X96" i="17"/>
  <c r="Y96" i="17"/>
  <c r="Z96" i="17"/>
  <c r="AA96" i="17"/>
  <c r="AB96" i="17"/>
  <c r="AC96" i="17"/>
  <c r="AD96" i="17"/>
  <c r="AE96" i="17"/>
  <c r="AF96" i="17"/>
  <c r="B96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Y90" i="17"/>
  <c r="Z90" i="17"/>
  <c r="AA90" i="17"/>
  <c r="AB90" i="17"/>
  <c r="AC90" i="17"/>
  <c r="AD90" i="17"/>
  <c r="AE90" i="17"/>
  <c r="AF90" i="17"/>
  <c r="B90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Y87" i="17"/>
  <c r="Z87" i="17"/>
  <c r="AA87" i="17"/>
  <c r="AB87" i="17"/>
  <c r="AC87" i="17"/>
  <c r="AD87" i="17"/>
  <c r="AE87" i="17"/>
  <c r="AF87" i="17"/>
  <c r="B87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B61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Y44" i="17"/>
  <c r="Z44" i="17"/>
  <c r="AA44" i="17"/>
  <c r="AB44" i="17"/>
  <c r="AC44" i="17"/>
  <c r="AD44" i="17"/>
  <c r="AE44" i="17"/>
  <c r="AF44" i="17"/>
  <c r="B44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B39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Y32" i="17"/>
  <c r="Z32" i="17"/>
  <c r="AA32" i="17"/>
  <c r="AB32" i="17"/>
  <c r="AC32" i="17"/>
  <c r="AD32" i="17"/>
  <c r="AE32" i="17"/>
  <c r="AF32" i="17"/>
  <c r="B32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B25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B13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B10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B7" i="17"/>
  <c r="C240" i="14"/>
  <c r="D240" i="14"/>
  <c r="E240" i="14"/>
  <c r="F240" i="14"/>
  <c r="G240" i="14"/>
  <c r="H240" i="14"/>
  <c r="I240" i="14"/>
  <c r="J240" i="14"/>
  <c r="K240" i="14"/>
  <c r="L240" i="14"/>
  <c r="M240" i="14"/>
  <c r="N240" i="14"/>
  <c r="O240" i="14"/>
  <c r="P240" i="14"/>
  <c r="Q240" i="14"/>
  <c r="R240" i="14"/>
  <c r="S240" i="14"/>
  <c r="T240" i="14"/>
  <c r="U240" i="14"/>
  <c r="V240" i="14"/>
  <c r="W240" i="14"/>
  <c r="X240" i="14"/>
  <c r="Y240" i="14"/>
  <c r="Z240" i="14"/>
  <c r="AA240" i="14"/>
  <c r="AB240" i="14"/>
  <c r="AC240" i="14"/>
  <c r="AD240" i="14"/>
  <c r="AE240" i="14"/>
  <c r="AF240" i="14"/>
  <c r="B240" i="14"/>
  <c r="C229" i="14"/>
  <c r="D229" i="14"/>
  <c r="E229" i="14"/>
  <c r="F229" i="14"/>
  <c r="G229" i="14"/>
  <c r="H229" i="14"/>
  <c r="I229" i="14"/>
  <c r="J229" i="14"/>
  <c r="K229" i="14"/>
  <c r="L229" i="14"/>
  <c r="M229" i="14"/>
  <c r="N229" i="14"/>
  <c r="O229" i="14"/>
  <c r="P229" i="14"/>
  <c r="Q229" i="14"/>
  <c r="R229" i="14"/>
  <c r="S229" i="14"/>
  <c r="T229" i="14"/>
  <c r="U229" i="14"/>
  <c r="V229" i="14"/>
  <c r="W229" i="14"/>
  <c r="X229" i="14"/>
  <c r="Y229" i="14"/>
  <c r="Z229" i="14"/>
  <c r="AA229" i="14"/>
  <c r="AB229" i="14"/>
  <c r="AC229" i="14"/>
  <c r="AD229" i="14"/>
  <c r="AE229" i="14"/>
  <c r="AF229" i="14"/>
  <c r="B229" i="14"/>
  <c r="C224" i="14"/>
  <c r="D224" i="14"/>
  <c r="E224" i="14"/>
  <c r="F224" i="14"/>
  <c r="G224" i="14"/>
  <c r="H224" i="14"/>
  <c r="I224" i="14"/>
  <c r="J224" i="14"/>
  <c r="K224" i="14"/>
  <c r="L224" i="14"/>
  <c r="M224" i="14"/>
  <c r="N224" i="14"/>
  <c r="O224" i="14"/>
  <c r="P224" i="14"/>
  <c r="Q224" i="14"/>
  <c r="R224" i="14"/>
  <c r="S224" i="14"/>
  <c r="T224" i="14"/>
  <c r="U224" i="14"/>
  <c r="V224" i="14"/>
  <c r="W224" i="14"/>
  <c r="X224" i="14"/>
  <c r="Y224" i="14"/>
  <c r="Z224" i="14"/>
  <c r="AA224" i="14"/>
  <c r="AB224" i="14"/>
  <c r="AC224" i="14"/>
  <c r="AD224" i="14"/>
  <c r="AE224" i="14"/>
  <c r="AF224" i="14"/>
  <c r="B224" i="14"/>
  <c r="C210" i="14"/>
  <c r="D210" i="14"/>
  <c r="E210" i="14"/>
  <c r="F210" i="14"/>
  <c r="G210" i="14"/>
  <c r="H210" i="14"/>
  <c r="I210" i="14"/>
  <c r="J210" i="14"/>
  <c r="K210" i="14"/>
  <c r="L210" i="14"/>
  <c r="M210" i="14"/>
  <c r="N210" i="14"/>
  <c r="O210" i="14"/>
  <c r="P210" i="14"/>
  <c r="Q210" i="14"/>
  <c r="R210" i="14"/>
  <c r="S210" i="14"/>
  <c r="T210" i="14"/>
  <c r="U210" i="14"/>
  <c r="V210" i="14"/>
  <c r="W210" i="14"/>
  <c r="X210" i="14"/>
  <c r="Y210" i="14"/>
  <c r="Z210" i="14"/>
  <c r="AA210" i="14"/>
  <c r="AB210" i="14"/>
  <c r="AC210" i="14"/>
  <c r="AD210" i="14"/>
  <c r="AE210" i="14"/>
  <c r="AF210" i="14"/>
  <c r="B210" i="14"/>
  <c r="C199" i="14"/>
  <c r="D199" i="14"/>
  <c r="E199" i="14"/>
  <c r="F199" i="14"/>
  <c r="G199" i="14"/>
  <c r="H199" i="14"/>
  <c r="I199" i="14"/>
  <c r="J199" i="14"/>
  <c r="K199" i="14"/>
  <c r="L199" i="14"/>
  <c r="M199" i="14"/>
  <c r="N199" i="14"/>
  <c r="O199" i="14"/>
  <c r="P199" i="14"/>
  <c r="Q199" i="14"/>
  <c r="R199" i="14"/>
  <c r="S199" i="14"/>
  <c r="T199" i="14"/>
  <c r="U199" i="14"/>
  <c r="V199" i="14"/>
  <c r="W199" i="14"/>
  <c r="X199" i="14"/>
  <c r="Y199" i="14"/>
  <c r="Z199" i="14"/>
  <c r="AA199" i="14"/>
  <c r="AB199" i="14"/>
  <c r="AC199" i="14"/>
  <c r="AD199" i="14"/>
  <c r="AE199" i="14"/>
  <c r="AF199" i="14"/>
  <c r="B199" i="14"/>
  <c r="C180" i="14"/>
  <c r="D180" i="14"/>
  <c r="E180" i="14"/>
  <c r="F180" i="14"/>
  <c r="G180" i="14"/>
  <c r="H180" i="14"/>
  <c r="I180" i="14"/>
  <c r="J180" i="14"/>
  <c r="K180" i="14"/>
  <c r="L180" i="14"/>
  <c r="M180" i="14"/>
  <c r="N180" i="14"/>
  <c r="O180" i="14"/>
  <c r="P180" i="14"/>
  <c r="Q180" i="14"/>
  <c r="R180" i="14"/>
  <c r="S180" i="14"/>
  <c r="T180" i="14"/>
  <c r="U180" i="14"/>
  <c r="V180" i="14"/>
  <c r="W180" i="14"/>
  <c r="X180" i="14"/>
  <c r="Y180" i="14"/>
  <c r="Z180" i="14"/>
  <c r="AA180" i="14"/>
  <c r="AB180" i="14"/>
  <c r="AC180" i="14"/>
  <c r="AD180" i="14"/>
  <c r="AE180" i="14"/>
  <c r="AF180" i="14"/>
  <c r="B180" i="14"/>
  <c r="C165" i="14"/>
  <c r="D165" i="14"/>
  <c r="E165" i="14"/>
  <c r="F165" i="14"/>
  <c r="G165" i="14"/>
  <c r="H165" i="14"/>
  <c r="I165" i="14"/>
  <c r="J165" i="14"/>
  <c r="K165" i="14"/>
  <c r="L165" i="14"/>
  <c r="M165" i="14"/>
  <c r="N165" i="14"/>
  <c r="O165" i="14"/>
  <c r="P165" i="14"/>
  <c r="Q165" i="14"/>
  <c r="R165" i="14"/>
  <c r="S165" i="14"/>
  <c r="T165" i="14"/>
  <c r="U165" i="14"/>
  <c r="V165" i="14"/>
  <c r="W165" i="14"/>
  <c r="X165" i="14"/>
  <c r="Y165" i="14"/>
  <c r="Z165" i="14"/>
  <c r="AA165" i="14"/>
  <c r="AB165" i="14"/>
  <c r="AC165" i="14"/>
  <c r="AD165" i="14"/>
  <c r="AE165" i="14"/>
  <c r="AF165" i="14"/>
  <c r="B165" i="14"/>
  <c r="C149" i="14"/>
  <c r="D149" i="14"/>
  <c r="E149" i="14"/>
  <c r="F149" i="14"/>
  <c r="G149" i="14"/>
  <c r="H149" i="14"/>
  <c r="I149" i="14"/>
  <c r="J149" i="14"/>
  <c r="K149" i="14"/>
  <c r="L149" i="14"/>
  <c r="M149" i="14"/>
  <c r="N149" i="14"/>
  <c r="O149" i="14"/>
  <c r="P149" i="14"/>
  <c r="Q149" i="14"/>
  <c r="R149" i="14"/>
  <c r="S149" i="14"/>
  <c r="T149" i="14"/>
  <c r="U149" i="14"/>
  <c r="V149" i="14"/>
  <c r="W149" i="14"/>
  <c r="X149" i="14"/>
  <c r="Y149" i="14"/>
  <c r="Z149" i="14"/>
  <c r="AA149" i="14"/>
  <c r="AB149" i="14"/>
  <c r="AC149" i="14"/>
  <c r="AD149" i="14"/>
  <c r="AE149" i="14"/>
  <c r="AF149" i="14"/>
  <c r="B149" i="14"/>
  <c r="C134" i="14"/>
  <c r="D134" i="14"/>
  <c r="E134" i="14"/>
  <c r="F134" i="14"/>
  <c r="G134" i="14"/>
  <c r="H134" i="14"/>
  <c r="I134" i="14"/>
  <c r="J134" i="14"/>
  <c r="K134" i="14"/>
  <c r="L134" i="14"/>
  <c r="M134" i="14"/>
  <c r="N134" i="14"/>
  <c r="O134" i="14"/>
  <c r="P134" i="14"/>
  <c r="Q134" i="14"/>
  <c r="R134" i="14"/>
  <c r="S134" i="14"/>
  <c r="T134" i="14"/>
  <c r="U134" i="14"/>
  <c r="V134" i="14"/>
  <c r="W134" i="14"/>
  <c r="X134" i="14"/>
  <c r="Y134" i="14"/>
  <c r="Z134" i="14"/>
  <c r="AA134" i="14"/>
  <c r="AB134" i="14"/>
  <c r="AC134" i="14"/>
  <c r="AD134" i="14"/>
  <c r="AE134" i="14"/>
  <c r="AF134" i="14"/>
  <c r="B134" i="14"/>
  <c r="C120" i="14"/>
  <c r="D120" i="14"/>
  <c r="E120" i="14"/>
  <c r="F120" i="14"/>
  <c r="G120" i="14"/>
  <c r="H120" i="14"/>
  <c r="I120" i="14"/>
  <c r="J120" i="14"/>
  <c r="K120" i="14"/>
  <c r="L120" i="14"/>
  <c r="M120" i="14"/>
  <c r="N120" i="14"/>
  <c r="O120" i="14"/>
  <c r="P120" i="14"/>
  <c r="Q120" i="14"/>
  <c r="R120" i="14"/>
  <c r="S120" i="14"/>
  <c r="T120" i="14"/>
  <c r="U120" i="14"/>
  <c r="V120" i="14"/>
  <c r="W120" i="14"/>
  <c r="X120" i="14"/>
  <c r="Y120" i="14"/>
  <c r="Z120" i="14"/>
  <c r="AA120" i="14"/>
  <c r="AB120" i="14"/>
  <c r="AC120" i="14"/>
  <c r="AD120" i="14"/>
  <c r="AE120" i="14"/>
  <c r="AF120" i="14"/>
  <c r="B120" i="14"/>
  <c r="C109" i="14"/>
  <c r="D109" i="14"/>
  <c r="E109" i="14"/>
  <c r="F109" i="14"/>
  <c r="G109" i="14"/>
  <c r="H109" i="14"/>
  <c r="I109" i="14"/>
  <c r="J109" i="14"/>
  <c r="K109" i="14"/>
  <c r="L109" i="14"/>
  <c r="M109" i="14"/>
  <c r="N109" i="14"/>
  <c r="O109" i="14"/>
  <c r="P109" i="14"/>
  <c r="Q109" i="14"/>
  <c r="R109" i="14"/>
  <c r="S109" i="14"/>
  <c r="T109" i="14"/>
  <c r="U109" i="14"/>
  <c r="V109" i="14"/>
  <c r="W109" i="14"/>
  <c r="X109" i="14"/>
  <c r="Y109" i="14"/>
  <c r="Z109" i="14"/>
  <c r="AA109" i="14"/>
  <c r="AB109" i="14"/>
  <c r="AC109" i="14"/>
  <c r="AD109" i="14"/>
  <c r="AE109" i="14"/>
  <c r="AF109" i="14"/>
  <c r="B109" i="14"/>
  <c r="C99" i="14"/>
  <c r="D99" i="14"/>
  <c r="E99" i="14"/>
  <c r="F99" i="14"/>
  <c r="G99" i="14"/>
  <c r="H99" i="14"/>
  <c r="I99" i="14"/>
  <c r="J99" i="14"/>
  <c r="K99" i="14"/>
  <c r="L99" i="14"/>
  <c r="M99" i="14"/>
  <c r="N99" i="14"/>
  <c r="O99" i="14"/>
  <c r="P99" i="14"/>
  <c r="Q99" i="14"/>
  <c r="R99" i="14"/>
  <c r="S99" i="14"/>
  <c r="T99" i="14"/>
  <c r="U99" i="14"/>
  <c r="V99" i="14"/>
  <c r="W99" i="14"/>
  <c r="X99" i="14"/>
  <c r="Y99" i="14"/>
  <c r="Z99" i="14"/>
  <c r="AA99" i="14"/>
  <c r="AB99" i="14"/>
  <c r="AC99" i="14"/>
  <c r="AD99" i="14"/>
  <c r="AE99" i="14"/>
  <c r="AF99" i="14"/>
  <c r="B99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Y90" i="14"/>
  <c r="Z90" i="14"/>
  <c r="AA90" i="14"/>
  <c r="AB90" i="14"/>
  <c r="AC90" i="14"/>
  <c r="AD90" i="14"/>
  <c r="AE90" i="14"/>
  <c r="AF90" i="14"/>
  <c r="B90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B79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AF60" i="14"/>
  <c r="B60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B45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B29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B14" i="14"/>
  <c r="AG29" i="14" l="1"/>
  <c r="B244" i="17"/>
  <c r="AG165" i="14"/>
  <c r="AG90" i="14"/>
  <c r="AG180" i="14"/>
  <c r="AG229" i="14"/>
  <c r="AG109" i="14"/>
  <c r="AG60" i="14"/>
  <c r="AG199" i="14"/>
  <c r="AG45" i="14"/>
  <c r="AG134" i="14"/>
  <c r="AG240" i="14"/>
  <c r="AG120" i="14"/>
  <c r="AG14" i="14"/>
  <c r="AG224" i="14"/>
  <c r="AG149" i="14"/>
  <c r="AG59" i="14"/>
  <c r="H96" i="12" s="1"/>
  <c r="AG179" i="14"/>
  <c r="F96" i="12" s="1"/>
  <c r="I96" i="12" l="1"/>
  <c r="AG17" i="14"/>
  <c r="AG137" i="14"/>
  <c r="AG203" i="14" l="1"/>
  <c r="AG156" i="17" l="1"/>
  <c r="AG35" i="17"/>
  <c r="H97" i="18" s="1"/>
  <c r="AG192" i="14"/>
  <c r="F100" i="12" s="1"/>
  <c r="C96" i="18" l="1"/>
  <c r="D96" i="18"/>
  <c r="C21" i="24" l="1"/>
  <c r="D21" i="24"/>
  <c r="E21" i="24"/>
  <c r="F21" i="24"/>
  <c r="G21" i="24"/>
  <c r="H21" i="24"/>
  <c r="I21" i="24"/>
  <c r="J21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B21" i="24"/>
  <c r="AG118" i="14"/>
  <c r="H95" i="12" s="1"/>
  <c r="AG238" i="14"/>
  <c r="F95" i="12" s="1"/>
  <c r="I95" i="12" l="1"/>
  <c r="C94" i="18" l="1"/>
  <c r="C95" i="18"/>
  <c r="D95" i="18"/>
  <c r="D94" i="18"/>
  <c r="AG220" i="17"/>
  <c r="AG221" i="17"/>
  <c r="AG222" i="17"/>
  <c r="AG223" i="17"/>
  <c r="AG224" i="17"/>
  <c r="AG225" i="17"/>
  <c r="AG226" i="17"/>
  <c r="AG227" i="17"/>
  <c r="AG228" i="17"/>
  <c r="AG229" i="17"/>
  <c r="AG230" i="17"/>
  <c r="AG231" i="17"/>
  <c r="AG232" i="17"/>
  <c r="AG233" i="17"/>
  <c r="AG234" i="17"/>
  <c r="AG235" i="17"/>
  <c r="AG236" i="17"/>
  <c r="AG237" i="17"/>
  <c r="AG238" i="17"/>
  <c r="AG239" i="17"/>
  <c r="AG240" i="17"/>
  <c r="AG241" i="17"/>
  <c r="AG242" i="17"/>
  <c r="AG219" i="17"/>
  <c r="AG216" i="17"/>
  <c r="AG214" i="17"/>
  <c r="AG215" i="17"/>
  <c r="AG213" i="17"/>
  <c r="AG210" i="17"/>
  <c r="AG185" i="17"/>
  <c r="AG186" i="17"/>
  <c r="AG187" i="17"/>
  <c r="AG188" i="17"/>
  <c r="AG189" i="17"/>
  <c r="AG190" i="17"/>
  <c r="AG191" i="17"/>
  <c r="AG192" i="17"/>
  <c r="AG193" i="17"/>
  <c r="AG194" i="17"/>
  <c r="AG195" i="17"/>
  <c r="AG196" i="17"/>
  <c r="AG197" i="17"/>
  <c r="AG198" i="17"/>
  <c r="AG199" i="17"/>
  <c r="AG200" i="17"/>
  <c r="AG201" i="17"/>
  <c r="AG202" i="17"/>
  <c r="AG203" i="17"/>
  <c r="AG204" i="17"/>
  <c r="AG205" i="17"/>
  <c r="AG206" i="17"/>
  <c r="AG207" i="17"/>
  <c r="AG184" i="17"/>
  <c r="AG168" i="17"/>
  <c r="AG169" i="17"/>
  <c r="AG170" i="17"/>
  <c r="AG171" i="17"/>
  <c r="AG172" i="17"/>
  <c r="AG173" i="17"/>
  <c r="AG174" i="17"/>
  <c r="AG175" i="17"/>
  <c r="AG176" i="17"/>
  <c r="AG177" i="17"/>
  <c r="AG178" i="17"/>
  <c r="AG179" i="17"/>
  <c r="AG180" i="17"/>
  <c r="AG181" i="17"/>
  <c r="AG167" i="17"/>
  <c r="AG163" i="17"/>
  <c r="AG164" i="17"/>
  <c r="AG162" i="17"/>
  <c r="AG157" i="17"/>
  <c r="AG158" i="17"/>
  <c r="AG159" i="17"/>
  <c r="AG155" i="17"/>
  <c r="AG149" i="17"/>
  <c r="AG150" i="17"/>
  <c r="AG151" i="17"/>
  <c r="AG152" i="17"/>
  <c r="AG148" i="17"/>
  <c r="AG137" i="17"/>
  <c r="AG138" i="17"/>
  <c r="AG139" i="17"/>
  <c r="AG140" i="17"/>
  <c r="AG141" i="17"/>
  <c r="AG142" i="17"/>
  <c r="AG143" i="17"/>
  <c r="AG144" i="17"/>
  <c r="AG145" i="17"/>
  <c r="AG136" i="17"/>
  <c r="AG126" i="17"/>
  <c r="AG127" i="17"/>
  <c r="AG125" i="17"/>
  <c r="AG99" i="17"/>
  <c r="AG100" i="17"/>
  <c r="AG101" i="17"/>
  <c r="AG102" i="17"/>
  <c r="AG103" i="17"/>
  <c r="AG104" i="17"/>
  <c r="AG105" i="17"/>
  <c r="AG106" i="17"/>
  <c r="AG107" i="17"/>
  <c r="AG108" i="17"/>
  <c r="AG109" i="17"/>
  <c r="AG110" i="17"/>
  <c r="AG111" i="17"/>
  <c r="AG112" i="17"/>
  <c r="AG113" i="17"/>
  <c r="AG114" i="17"/>
  <c r="H95" i="18" s="1"/>
  <c r="AG115" i="17"/>
  <c r="AG116" i="17"/>
  <c r="AG117" i="17"/>
  <c r="AG118" i="17"/>
  <c r="AG119" i="17"/>
  <c r="AG120" i="17"/>
  <c r="AG121" i="17"/>
  <c r="AG98" i="17"/>
  <c r="AG93" i="17"/>
  <c r="AG94" i="17"/>
  <c r="AG95" i="17"/>
  <c r="AG92" i="17"/>
  <c r="AG89" i="17"/>
  <c r="AG90" i="17" s="1"/>
  <c r="AG64" i="17"/>
  <c r="AG65" i="17"/>
  <c r="AG66" i="17"/>
  <c r="AG67" i="17"/>
  <c r="AG68" i="17"/>
  <c r="AG69" i="17"/>
  <c r="AG70" i="17"/>
  <c r="AG71" i="17"/>
  <c r="AG72" i="17"/>
  <c r="AG73" i="17"/>
  <c r="AG74" i="17"/>
  <c r="AG75" i="17"/>
  <c r="AG76" i="17"/>
  <c r="AG77" i="17"/>
  <c r="AG78" i="17"/>
  <c r="AG79" i="17"/>
  <c r="AG80" i="17"/>
  <c r="AG81" i="17"/>
  <c r="AG82" i="17"/>
  <c r="AG83" i="17"/>
  <c r="AG84" i="17"/>
  <c r="AG85" i="17"/>
  <c r="AG86" i="17"/>
  <c r="AG47" i="17"/>
  <c r="AG48" i="17"/>
  <c r="AG49" i="17"/>
  <c r="AG50" i="17"/>
  <c r="H94" i="18" s="1"/>
  <c r="AG51" i="17"/>
  <c r="AG52" i="17"/>
  <c r="AG53" i="17"/>
  <c r="AG54" i="17"/>
  <c r="AG55" i="17"/>
  <c r="AG56" i="17"/>
  <c r="AG57" i="17"/>
  <c r="AG58" i="17"/>
  <c r="AG59" i="17"/>
  <c r="AG60" i="17"/>
  <c r="AG42" i="17"/>
  <c r="AG43" i="17"/>
  <c r="AG36" i="17"/>
  <c r="AG37" i="17"/>
  <c r="AG38" i="17"/>
  <c r="AG28" i="17"/>
  <c r="AG29" i="17"/>
  <c r="AG30" i="17"/>
  <c r="AG31" i="17"/>
  <c r="AG16" i="17"/>
  <c r="AG17" i="17"/>
  <c r="AG18" i="17"/>
  <c r="AG19" i="17"/>
  <c r="AG20" i="17"/>
  <c r="AG21" i="17"/>
  <c r="H96" i="18" s="1"/>
  <c r="AG22" i="17"/>
  <c r="AG23" i="17"/>
  <c r="AG24" i="17"/>
  <c r="AG5" i="17"/>
  <c r="AG6" i="17"/>
  <c r="C104" i="14"/>
  <c r="D104" i="14"/>
  <c r="E104" i="14"/>
  <c r="F104" i="14"/>
  <c r="G104" i="14"/>
  <c r="H104" i="14"/>
  <c r="I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V104" i="14"/>
  <c r="W104" i="14"/>
  <c r="X104" i="14"/>
  <c r="Y104" i="14"/>
  <c r="Z104" i="14"/>
  <c r="AA104" i="14"/>
  <c r="AB104" i="14"/>
  <c r="AC104" i="14"/>
  <c r="AD104" i="14"/>
  <c r="AE104" i="14"/>
  <c r="AF104" i="14"/>
  <c r="B104" i="14"/>
  <c r="C219" i="14"/>
  <c r="D219" i="14"/>
  <c r="E219" i="14"/>
  <c r="F219" i="14"/>
  <c r="G219" i="14"/>
  <c r="H219" i="14"/>
  <c r="I219" i="14"/>
  <c r="J219" i="14"/>
  <c r="K219" i="14"/>
  <c r="L219" i="14"/>
  <c r="M219" i="14"/>
  <c r="N219" i="14"/>
  <c r="O219" i="14"/>
  <c r="P219" i="14"/>
  <c r="Q219" i="14"/>
  <c r="R219" i="14"/>
  <c r="S219" i="14"/>
  <c r="T219" i="14"/>
  <c r="U219" i="14"/>
  <c r="V219" i="14"/>
  <c r="W219" i="14"/>
  <c r="X219" i="14"/>
  <c r="Y219" i="14"/>
  <c r="Z219" i="14"/>
  <c r="AA219" i="14"/>
  <c r="AB219" i="14"/>
  <c r="AC219" i="14"/>
  <c r="AD219" i="14"/>
  <c r="AE219" i="14"/>
  <c r="AF219" i="14"/>
  <c r="B219" i="14"/>
  <c r="AG239" i="14"/>
  <c r="F94" i="12" s="1"/>
  <c r="AG232" i="14"/>
  <c r="AG233" i="14"/>
  <c r="AG234" i="14"/>
  <c r="AG235" i="14"/>
  <c r="AG236" i="14"/>
  <c r="AG237" i="14"/>
  <c r="AG231" i="14"/>
  <c r="AG227" i="14"/>
  <c r="AG228" i="14"/>
  <c r="AG226" i="14"/>
  <c r="AG222" i="14"/>
  <c r="AG223" i="14"/>
  <c r="AG221" i="14"/>
  <c r="AG213" i="14"/>
  <c r="AG214" i="14"/>
  <c r="AG215" i="14"/>
  <c r="AG216" i="14"/>
  <c r="F98" i="12" s="1"/>
  <c r="AG218" i="14"/>
  <c r="F101" i="12" s="1"/>
  <c r="AG212" i="14"/>
  <c r="AG202" i="14"/>
  <c r="AG204" i="14"/>
  <c r="AG205" i="14"/>
  <c r="AG206" i="14"/>
  <c r="AG207" i="14"/>
  <c r="AG208" i="14"/>
  <c r="AG209" i="14"/>
  <c r="AG201" i="14"/>
  <c r="AG183" i="14"/>
  <c r="AG184" i="14"/>
  <c r="AG185" i="14"/>
  <c r="AG186" i="14"/>
  <c r="AG187" i="14"/>
  <c r="F92" i="12" s="1"/>
  <c r="AG188" i="14"/>
  <c r="F93" i="12" s="1"/>
  <c r="AG189" i="14"/>
  <c r="AG190" i="14"/>
  <c r="F97" i="12" s="1"/>
  <c r="AG193" i="14"/>
  <c r="AG194" i="14"/>
  <c r="AG195" i="14"/>
  <c r="AG197" i="14"/>
  <c r="AG198" i="14"/>
  <c r="AG182" i="14"/>
  <c r="AG168" i="14"/>
  <c r="AG169" i="14"/>
  <c r="AG170" i="14"/>
  <c r="AG171" i="14"/>
  <c r="AG172" i="14"/>
  <c r="AG173" i="14"/>
  <c r="AG174" i="14"/>
  <c r="AG175" i="14"/>
  <c r="AG176" i="14"/>
  <c r="AG177" i="14"/>
  <c r="AG178" i="14"/>
  <c r="AG167" i="14"/>
  <c r="AG152" i="14"/>
  <c r="AG153" i="14"/>
  <c r="AG154" i="14"/>
  <c r="AG155" i="14"/>
  <c r="AG156" i="14"/>
  <c r="AG157" i="14"/>
  <c r="AG158" i="14"/>
  <c r="F99" i="12" s="1"/>
  <c r="AG159" i="14"/>
  <c r="AG160" i="14"/>
  <c r="AG161" i="14"/>
  <c r="AG162" i="14"/>
  <c r="AG163" i="14"/>
  <c r="AG164" i="14"/>
  <c r="AG151" i="14"/>
  <c r="AG138" i="14"/>
  <c r="AG139" i="14"/>
  <c r="AG140" i="14"/>
  <c r="AG141" i="14"/>
  <c r="AG142" i="14"/>
  <c r="AG143" i="14"/>
  <c r="AG144" i="14"/>
  <c r="AG145" i="14"/>
  <c r="AG146" i="14"/>
  <c r="AG147" i="14"/>
  <c r="AG148" i="14"/>
  <c r="AG136" i="14"/>
  <c r="AG125" i="14"/>
  <c r="AG126" i="14"/>
  <c r="AG127" i="14"/>
  <c r="AG128" i="14"/>
  <c r="AG129" i="14"/>
  <c r="AG130" i="14"/>
  <c r="AG131" i="14"/>
  <c r="AG132" i="14"/>
  <c r="AG133" i="14"/>
  <c r="AG124" i="14"/>
  <c r="AG112" i="14"/>
  <c r="AG113" i="14"/>
  <c r="AG114" i="14"/>
  <c r="AG115" i="14"/>
  <c r="AG116" i="14"/>
  <c r="AG117" i="14"/>
  <c r="AG119" i="14"/>
  <c r="H94" i="12" s="1"/>
  <c r="AG111" i="14"/>
  <c r="AG107" i="14"/>
  <c r="AG108" i="14"/>
  <c r="AG106" i="14"/>
  <c r="AG102" i="14"/>
  <c r="AG103" i="14"/>
  <c r="AG101" i="14"/>
  <c r="AG93" i="14"/>
  <c r="AG94" i="14"/>
  <c r="AG95" i="14"/>
  <c r="AG96" i="14"/>
  <c r="H98" i="12" s="1"/>
  <c r="AG98" i="14"/>
  <c r="H101" i="12" s="1"/>
  <c r="AG92" i="14"/>
  <c r="AG82" i="14"/>
  <c r="AG83" i="14"/>
  <c r="AG84" i="14"/>
  <c r="AG85" i="14"/>
  <c r="AG86" i="14"/>
  <c r="AG87" i="14"/>
  <c r="AG88" i="14"/>
  <c r="AG89" i="14"/>
  <c r="AG81" i="14"/>
  <c r="AG63" i="14"/>
  <c r="AG64" i="14"/>
  <c r="AG65" i="14"/>
  <c r="AG66" i="14"/>
  <c r="AG67" i="14"/>
  <c r="H97" i="12" s="1"/>
  <c r="AG69" i="14"/>
  <c r="H100" i="12" s="1"/>
  <c r="I100" i="12" s="1"/>
  <c r="AG70" i="14"/>
  <c r="AG71" i="14"/>
  <c r="H92" i="12" s="1"/>
  <c r="AG72" i="14"/>
  <c r="H93" i="12" s="1"/>
  <c r="AG73" i="14"/>
  <c r="AG74" i="14"/>
  <c r="AG76" i="14"/>
  <c r="AG77" i="14"/>
  <c r="AG78" i="14"/>
  <c r="AG62" i="14"/>
  <c r="AG48" i="14"/>
  <c r="AG49" i="14"/>
  <c r="AG50" i="14"/>
  <c r="AG51" i="14"/>
  <c r="AG52" i="14"/>
  <c r="AG53" i="14"/>
  <c r="AG54" i="14"/>
  <c r="AG55" i="14"/>
  <c r="AG56" i="14"/>
  <c r="AG57" i="14"/>
  <c r="AG58" i="14"/>
  <c r="AG47" i="14"/>
  <c r="AG32" i="14"/>
  <c r="AG33" i="14"/>
  <c r="AG34" i="14"/>
  <c r="AG35" i="14"/>
  <c r="AG36" i="14"/>
  <c r="AG37" i="14"/>
  <c r="AG38" i="14"/>
  <c r="H99" i="12" s="1"/>
  <c r="AG39" i="14"/>
  <c r="AG40" i="14"/>
  <c r="AG41" i="14"/>
  <c r="AG42" i="14"/>
  <c r="AG43" i="14"/>
  <c r="AG44" i="14"/>
  <c r="AG31" i="14"/>
  <c r="AG18" i="14"/>
  <c r="AG19" i="14"/>
  <c r="AG20" i="14"/>
  <c r="AG21" i="14"/>
  <c r="AG22" i="14"/>
  <c r="AG23" i="14"/>
  <c r="AG24" i="14"/>
  <c r="AG25" i="14"/>
  <c r="AG26" i="14"/>
  <c r="AG27" i="14"/>
  <c r="AG28" i="14"/>
  <c r="AG5" i="14"/>
  <c r="AG6" i="14"/>
  <c r="AG7" i="14"/>
  <c r="AG8" i="14"/>
  <c r="AG9" i="14"/>
  <c r="AG10" i="14"/>
  <c r="AG11" i="14"/>
  <c r="AG12" i="14"/>
  <c r="AG13" i="14"/>
  <c r="I101" i="12" l="1"/>
  <c r="B241" i="14"/>
  <c r="I99" i="12"/>
  <c r="I98" i="12"/>
  <c r="I97" i="12"/>
  <c r="AC241" i="14"/>
  <c r="Y241" i="14"/>
  <c r="U241" i="14"/>
  <c r="Q241" i="14"/>
  <c r="M241" i="14"/>
  <c r="I241" i="14"/>
  <c r="E241" i="14"/>
  <c r="AF241" i="14"/>
  <c r="AB241" i="14"/>
  <c r="X241" i="14"/>
  <c r="T241" i="14"/>
  <c r="P241" i="14"/>
  <c r="L241" i="14"/>
  <c r="H241" i="14"/>
  <c r="D241" i="14"/>
  <c r="AG128" i="17"/>
  <c r="AG99" i="14"/>
  <c r="AG104" i="14"/>
  <c r="AE241" i="14"/>
  <c r="AA241" i="14"/>
  <c r="W241" i="14"/>
  <c r="S241" i="14"/>
  <c r="O241" i="14"/>
  <c r="K241" i="14"/>
  <c r="G241" i="14"/>
  <c r="C241" i="14"/>
  <c r="AG79" i="14"/>
  <c r="AD241" i="14"/>
  <c r="Z241" i="14"/>
  <c r="V241" i="14"/>
  <c r="R241" i="14"/>
  <c r="N241" i="14"/>
  <c r="J241" i="14"/>
  <c r="F241" i="14"/>
  <c r="AG217" i="17"/>
  <c r="AG96" i="17"/>
  <c r="AG122" i="17"/>
  <c r="AG243" i="17"/>
  <c r="AG208" i="17"/>
  <c r="AG219" i="14"/>
  <c r="AG165" i="17"/>
  <c r="AG211" i="17"/>
  <c r="AG160" i="17"/>
  <c r="AG146" i="17"/>
  <c r="AG182" i="17"/>
  <c r="I93" i="12"/>
  <c r="I94" i="12"/>
  <c r="I92" i="12"/>
  <c r="H46" i="18"/>
  <c r="AG241" i="14" l="1"/>
  <c r="H59" i="12" l="1"/>
  <c r="F59" i="12"/>
  <c r="H7" i="12" l="1"/>
  <c r="B91" i="12" l="1"/>
  <c r="C91" i="12" l="1"/>
  <c r="D91" i="12"/>
  <c r="H91" i="12"/>
  <c r="D11" i="18"/>
  <c r="C11" i="18"/>
  <c r="D7" i="36" l="1"/>
  <c r="D5" i="36"/>
  <c r="D6" i="36"/>
  <c r="D4" i="36"/>
  <c r="F89" i="12"/>
  <c r="H89" i="12"/>
  <c r="F10" i="12" l="1"/>
  <c r="B16" i="19" l="1"/>
  <c r="C16" i="19" s="1"/>
  <c r="D16" i="19" l="1"/>
  <c r="F90" i="12"/>
  <c r="H90" i="12"/>
  <c r="F62" i="12"/>
  <c r="H62" i="12"/>
  <c r="I90" i="12" l="1"/>
  <c r="I62" i="12"/>
  <c r="B5" i="35"/>
  <c r="B6" i="35"/>
  <c r="D5" i="35" l="1"/>
  <c r="C5" i="35"/>
  <c r="C6" i="35"/>
  <c r="D6" i="35"/>
  <c r="B25" i="21"/>
  <c r="AG5" i="34" l="1"/>
  <c r="H6" i="35" s="1"/>
  <c r="A10" i="34"/>
  <c r="AG10" i="34"/>
  <c r="F6" i="35" s="1"/>
  <c r="AF11" i="34"/>
  <c r="AE11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B11" i="34"/>
  <c r="AG9" i="34"/>
  <c r="A9" i="34"/>
  <c r="AF6" i="34"/>
  <c r="AE6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G6" i="34"/>
  <c r="F6" i="34"/>
  <c r="E6" i="34"/>
  <c r="D6" i="34"/>
  <c r="C6" i="34"/>
  <c r="B6" i="34"/>
  <c r="AG4" i="34"/>
  <c r="H5" i="35" s="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B24" i="21"/>
  <c r="C19" i="21"/>
  <c r="D19" i="21"/>
  <c r="E19" i="21"/>
  <c r="F19" i="21"/>
  <c r="G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B19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B12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B7" i="21"/>
  <c r="B17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B11" i="22"/>
  <c r="C6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B6" i="22"/>
  <c r="AF11" i="22"/>
  <c r="AE11" i="22"/>
  <c r="AD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C20" i="24"/>
  <c r="D20" i="24"/>
  <c r="E20" i="24"/>
  <c r="F20" i="24"/>
  <c r="G20" i="24"/>
  <c r="H20" i="24"/>
  <c r="I20" i="24"/>
  <c r="J20" i="24"/>
  <c r="K20" i="24"/>
  <c r="L20" i="24"/>
  <c r="M20" i="24"/>
  <c r="N20" i="24"/>
  <c r="O20" i="24"/>
  <c r="P20" i="24"/>
  <c r="Q20" i="24"/>
  <c r="R20" i="24"/>
  <c r="S20" i="24"/>
  <c r="T20" i="24"/>
  <c r="U20" i="24"/>
  <c r="V20" i="24"/>
  <c r="W20" i="24"/>
  <c r="X20" i="24"/>
  <c r="Y20" i="24"/>
  <c r="Z20" i="24"/>
  <c r="AA20" i="24"/>
  <c r="AB20" i="24"/>
  <c r="AC20" i="24"/>
  <c r="AD20" i="24"/>
  <c r="AE20" i="24"/>
  <c r="AF20" i="24"/>
  <c r="B20" i="24"/>
  <c r="C16" i="24"/>
  <c r="D16" i="24"/>
  <c r="E16" i="24"/>
  <c r="F16" i="24"/>
  <c r="G16" i="24"/>
  <c r="H16" i="24"/>
  <c r="I16" i="24"/>
  <c r="J16" i="24"/>
  <c r="K16" i="24"/>
  <c r="L16" i="24"/>
  <c r="M16" i="24"/>
  <c r="N16" i="24"/>
  <c r="P16" i="24"/>
  <c r="Q16" i="24"/>
  <c r="R16" i="24"/>
  <c r="S16" i="24"/>
  <c r="T16" i="24"/>
  <c r="U16" i="24"/>
  <c r="V16" i="24"/>
  <c r="W16" i="24"/>
  <c r="X16" i="24"/>
  <c r="Y16" i="24"/>
  <c r="Z16" i="24"/>
  <c r="AA16" i="24"/>
  <c r="AB16" i="24"/>
  <c r="AC16" i="24"/>
  <c r="AD16" i="24"/>
  <c r="AE16" i="24"/>
  <c r="AF16" i="24"/>
  <c r="B16" i="24"/>
  <c r="C10" i="24"/>
  <c r="D10" i="24"/>
  <c r="E10" i="24"/>
  <c r="F10" i="24"/>
  <c r="G10" i="24"/>
  <c r="H10" i="24"/>
  <c r="I10" i="24"/>
  <c r="J10" i="24"/>
  <c r="K10" i="24"/>
  <c r="L10" i="24"/>
  <c r="M10" i="24"/>
  <c r="N10" i="24"/>
  <c r="O10" i="24"/>
  <c r="P10" i="24"/>
  <c r="Q10" i="24"/>
  <c r="R10" i="24"/>
  <c r="S10" i="24"/>
  <c r="T10" i="24"/>
  <c r="U10" i="24"/>
  <c r="V10" i="24"/>
  <c r="W10" i="24"/>
  <c r="X10" i="24"/>
  <c r="Y10" i="24"/>
  <c r="Z10" i="24"/>
  <c r="AA10" i="24"/>
  <c r="AB10" i="24"/>
  <c r="AC10" i="24"/>
  <c r="AD10" i="24"/>
  <c r="AE10" i="24"/>
  <c r="AF10" i="24"/>
  <c r="B10" i="24"/>
  <c r="C6" i="24"/>
  <c r="D6" i="24"/>
  <c r="E6" i="24"/>
  <c r="F6" i="24"/>
  <c r="G6" i="24"/>
  <c r="H6" i="24"/>
  <c r="I6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B6" i="24"/>
  <c r="C37" i="27"/>
  <c r="D37" i="27"/>
  <c r="E37" i="27"/>
  <c r="F37" i="27"/>
  <c r="G37" i="27"/>
  <c r="H37" i="27"/>
  <c r="I37" i="27"/>
  <c r="J37" i="27"/>
  <c r="K37" i="27"/>
  <c r="L37" i="27"/>
  <c r="M37" i="27"/>
  <c r="N37" i="27"/>
  <c r="O37" i="27"/>
  <c r="P37" i="27"/>
  <c r="Q37" i="27"/>
  <c r="R37" i="27"/>
  <c r="S37" i="27"/>
  <c r="T37" i="27"/>
  <c r="U37" i="27"/>
  <c r="V37" i="27"/>
  <c r="W37" i="27"/>
  <c r="X37" i="27"/>
  <c r="Y37" i="27"/>
  <c r="Z37" i="27"/>
  <c r="AA37" i="27"/>
  <c r="AB37" i="27"/>
  <c r="AC37" i="27"/>
  <c r="AD37" i="27"/>
  <c r="AE37" i="27"/>
  <c r="AF37" i="27"/>
  <c r="B37" i="27"/>
  <c r="C19" i="27"/>
  <c r="D19" i="27"/>
  <c r="E19" i="27"/>
  <c r="F19" i="27"/>
  <c r="G19" i="27"/>
  <c r="H19" i="27"/>
  <c r="I19" i="27"/>
  <c r="J19" i="27"/>
  <c r="K19" i="27"/>
  <c r="L19" i="27"/>
  <c r="M19" i="27"/>
  <c r="N19" i="27"/>
  <c r="O19" i="27"/>
  <c r="P19" i="27"/>
  <c r="Q19" i="27"/>
  <c r="R19" i="27"/>
  <c r="S19" i="27"/>
  <c r="T19" i="27"/>
  <c r="U19" i="27"/>
  <c r="V19" i="27"/>
  <c r="W19" i="27"/>
  <c r="X19" i="27"/>
  <c r="Y19" i="27"/>
  <c r="Z19" i="27"/>
  <c r="AA19" i="27"/>
  <c r="AB19" i="27"/>
  <c r="AC19" i="27"/>
  <c r="AD19" i="27"/>
  <c r="AE19" i="27"/>
  <c r="AF19" i="27"/>
  <c r="B19" i="27"/>
  <c r="H7" i="35" l="1"/>
  <c r="U244" i="17"/>
  <c r="Q244" i="17"/>
  <c r="M244" i="17"/>
  <c r="I244" i="17"/>
  <c r="E244" i="17"/>
  <c r="Y244" i="17"/>
  <c r="AC244" i="17"/>
  <c r="AF244" i="17"/>
  <c r="AB244" i="17"/>
  <c r="X244" i="17"/>
  <c r="T244" i="17"/>
  <c r="P244" i="17"/>
  <c r="L244" i="17"/>
  <c r="H244" i="17"/>
  <c r="D244" i="17"/>
  <c r="AE244" i="17"/>
  <c r="AA244" i="17"/>
  <c r="W244" i="17"/>
  <c r="S244" i="17"/>
  <c r="O244" i="17"/>
  <c r="K244" i="17"/>
  <c r="G244" i="17"/>
  <c r="C244" i="17"/>
  <c r="AD244" i="17"/>
  <c r="Z244" i="17"/>
  <c r="V244" i="17"/>
  <c r="R244" i="17"/>
  <c r="N244" i="17"/>
  <c r="J244" i="17"/>
  <c r="F244" i="17"/>
  <c r="AD12" i="22"/>
  <c r="AF12" i="22"/>
  <c r="AB12" i="22"/>
  <c r="B38" i="27"/>
  <c r="I38" i="27"/>
  <c r="X12" i="22"/>
  <c r="G38" i="27"/>
  <c r="C38" i="27"/>
  <c r="B12" i="22"/>
  <c r="E38" i="27"/>
  <c r="T12" i="22"/>
  <c r="P12" i="22"/>
  <c r="AC35" i="16"/>
  <c r="L35" i="16"/>
  <c r="E35" i="16"/>
  <c r="F35" i="16"/>
  <c r="P35" i="16"/>
  <c r="Y35" i="16"/>
  <c r="T35" i="16"/>
  <c r="H35" i="16"/>
  <c r="C35" i="16"/>
  <c r="G35" i="16"/>
  <c r="AD38" i="27"/>
  <c r="Z38" i="27"/>
  <c r="V38" i="27"/>
  <c r="R38" i="27"/>
  <c r="N38" i="27"/>
  <c r="J38" i="27"/>
  <c r="Z12" i="22"/>
  <c r="V12" i="22"/>
  <c r="R12" i="22"/>
  <c r="I6" i="35"/>
  <c r="AF38" i="27"/>
  <c r="AB38" i="27"/>
  <c r="X38" i="27"/>
  <c r="T38" i="27"/>
  <c r="P38" i="27"/>
  <c r="L38" i="27"/>
  <c r="D35" i="16"/>
  <c r="L12" i="22"/>
  <c r="H12" i="22"/>
  <c r="D12" i="22"/>
  <c r="AC12" i="22"/>
  <c r="Y12" i="22"/>
  <c r="U12" i="22"/>
  <c r="Q12" i="22"/>
  <c r="M12" i="22"/>
  <c r="I12" i="22"/>
  <c r="E12" i="22"/>
  <c r="J12" i="22"/>
  <c r="F12" i="22"/>
  <c r="AE12" i="22"/>
  <c r="AA12" i="22"/>
  <c r="W12" i="22"/>
  <c r="S12" i="22"/>
  <c r="O12" i="22"/>
  <c r="K12" i="22"/>
  <c r="G12" i="22"/>
  <c r="C12" i="22"/>
  <c r="AG6" i="34"/>
  <c r="F38" i="27"/>
  <c r="AC38" i="27"/>
  <c r="Y38" i="27"/>
  <c r="U38" i="27"/>
  <c r="Q38" i="27"/>
  <c r="M38" i="27"/>
  <c r="AF35" i="16"/>
  <c r="AB35" i="16"/>
  <c r="X35" i="16"/>
  <c r="B35" i="16"/>
  <c r="B12" i="34"/>
  <c r="AG11" i="34"/>
  <c r="AG12" i="34" s="1"/>
  <c r="F5" i="35"/>
  <c r="F7" i="35" s="1"/>
  <c r="AE35" i="16"/>
  <c r="AA35" i="16"/>
  <c r="W35" i="16"/>
  <c r="S35" i="16"/>
  <c r="O35" i="16"/>
  <c r="K35" i="16"/>
  <c r="H38" i="27"/>
  <c r="D38" i="27"/>
  <c r="AE38" i="27"/>
  <c r="AA38" i="27"/>
  <c r="W38" i="27"/>
  <c r="S38" i="27"/>
  <c r="O38" i="27"/>
  <c r="K38" i="27"/>
  <c r="N12" i="22"/>
  <c r="AD35" i="16"/>
  <c r="Z35" i="16"/>
  <c r="V35" i="16"/>
  <c r="R35" i="16"/>
  <c r="N35" i="16"/>
  <c r="J35" i="16"/>
  <c r="U35" i="16"/>
  <c r="Q35" i="16"/>
  <c r="M35" i="16"/>
  <c r="I35" i="16"/>
  <c r="C12" i="34"/>
  <c r="G12" i="34"/>
  <c r="K12" i="34"/>
  <c r="O12" i="34"/>
  <c r="S12" i="34"/>
  <c r="W12" i="34"/>
  <c r="AA12" i="34"/>
  <c r="AE12" i="34"/>
  <c r="D12" i="34"/>
  <c r="H12" i="34"/>
  <c r="L12" i="34"/>
  <c r="P12" i="34"/>
  <c r="T12" i="34"/>
  <c r="X12" i="34"/>
  <c r="AB12" i="34"/>
  <c r="AF12" i="34"/>
  <c r="E12" i="34"/>
  <c r="I12" i="34"/>
  <c r="M12" i="34"/>
  <c r="Q12" i="34"/>
  <c r="U12" i="34"/>
  <c r="Y12" i="34"/>
  <c r="AC12" i="34"/>
  <c r="F12" i="34"/>
  <c r="J12" i="34"/>
  <c r="N12" i="34"/>
  <c r="R12" i="34"/>
  <c r="V12" i="34"/>
  <c r="Z12" i="34"/>
  <c r="AD12" i="34"/>
  <c r="AF3" i="15" l="1"/>
  <c r="N3" i="15"/>
  <c r="AD3" i="15"/>
  <c r="O3" i="15"/>
  <c r="AE3" i="15"/>
  <c r="P3" i="15"/>
  <c r="I3" i="15"/>
  <c r="R3" i="15"/>
  <c r="AG244" i="17"/>
  <c r="S3" i="15"/>
  <c r="D3" i="15"/>
  <c r="T3" i="15"/>
  <c r="AC3" i="15"/>
  <c r="M3" i="15"/>
  <c r="F3" i="15"/>
  <c r="V3" i="15"/>
  <c r="G3" i="15"/>
  <c r="W3" i="15"/>
  <c r="H3" i="15"/>
  <c r="X3" i="15"/>
  <c r="Y3" i="15"/>
  <c r="Q3" i="15"/>
  <c r="J3" i="15"/>
  <c r="Z3" i="15"/>
  <c r="K3" i="15"/>
  <c r="AA3" i="15"/>
  <c r="L3" i="15"/>
  <c r="AB3" i="15"/>
  <c r="E3" i="15"/>
  <c r="U3" i="15"/>
  <c r="C3" i="15"/>
  <c r="B3" i="15"/>
  <c r="I5" i="35"/>
  <c r="I7" i="35" s="1"/>
  <c r="D24" i="36"/>
  <c r="B13" i="18"/>
  <c r="B14" i="18"/>
  <c r="B15" i="18"/>
  <c r="A140" i="17"/>
  <c r="A141" i="17"/>
  <c r="A142" i="17"/>
  <c r="A143" i="17"/>
  <c r="A144" i="17"/>
  <c r="A145" i="17"/>
  <c r="A139" i="17"/>
  <c r="H11" i="18"/>
  <c r="F11" i="18"/>
  <c r="AG26" i="27"/>
  <c r="AG27" i="27"/>
  <c r="AG28" i="27"/>
  <c r="AG29" i="27"/>
  <c r="AG30" i="27"/>
  <c r="AG31" i="27"/>
  <c r="AG32" i="27"/>
  <c r="AG33" i="27"/>
  <c r="AG34" i="27"/>
  <c r="AG35" i="27"/>
  <c r="AG36" i="27"/>
  <c r="AG18" i="27"/>
  <c r="AG9" i="27"/>
  <c r="AG10" i="27"/>
  <c r="AG11" i="27"/>
  <c r="AG12" i="27"/>
  <c r="AG13" i="27"/>
  <c r="AG14" i="27"/>
  <c r="AG15" i="27"/>
  <c r="AG16" i="27"/>
  <c r="AG17" i="27"/>
  <c r="A27" i="27"/>
  <c r="A28" i="27"/>
  <c r="A29" i="27"/>
  <c r="A30" i="27"/>
  <c r="A31" i="27"/>
  <c r="A32" i="27"/>
  <c r="A33" i="27"/>
  <c r="A34" i="27"/>
  <c r="A35" i="27"/>
  <c r="A36" i="27"/>
  <c r="A26" i="27"/>
  <c r="AG8" i="27"/>
  <c r="AG5" i="27"/>
  <c r="AG6" i="27"/>
  <c r="AG7" i="27"/>
  <c r="AG23" i="27"/>
  <c r="AG24" i="27"/>
  <c r="AG25" i="27"/>
  <c r="A23" i="27"/>
  <c r="A24" i="27"/>
  <c r="A25" i="27"/>
  <c r="A22" i="27"/>
  <c r="AG22" i="27"/>
  <c r="AG4" i="27"/>
  <c r="B93" i="18"/>
  <c r="C93" i="18" s="1"/>
  <c r="B92" i="18"/>
  <c r="C92" i="18" s="1"/>
  <c r="B91" i="18"/>
  <c r="C91" i="18" s="1"/>
  <c r="B88" i="18"/>
  <c r="C88" i="18" s="1"/>
  <c r="B89" i="18"/>
  <c r="C89" i="18" s="1"/>
  <c r="B90" i="18"/>
  <c r="C90" i="18" s="1"/>
  <c r="B83" i="18"/>
  <c r="B84" i="18"/>
  <c r="B85" i="18"/>
  <c r="B86" i="18"/>
  <c r="B87" i="18"/>
  <c r="C87" i="18" s="1"/>
  <c r="B72" i="18"/>
  <c r="B73" i="18"/>
  <c r="B74" i="18"/>
  <c r="B75" i="18"/>
  <c r="B76" i="18"/>
  <c r="B77" i="18"/>
  <c r="B78" i="18"/>
  <c r="B79" i="18"/>
  <c r="B80" i="18"/>
  <c r="B81" i="18"/>
  <c r="B82" i="18"/>
  <c r="B71" i="18"/>
  <c r="B70" i="18"/>
  <c r="B68" i="18"/>
  <c r="B69" i="18"/>
  <c r="B67" i="18"/>
  <c r="B66" i="18"/>
  <c r="B65" i="18"/>
  <c r="B63" i="18"/>
  <c r="B64" i="18"/>
  <c r="B61" i="18"/>
  <c r="B62" i="18"/>
  <c r="B59" i="18"/>
  <c r="B60" i="18"/>
  <c r="B57" i="18"/>
  <c r="B58" i="18"/>
  <c r="B54" i="18"/>
  <c r="B55" i="18"/>
  <c r="B56" i="18"/>
  <c r="B51" i="18"/>
  <c r="B52" i="18"/>
  <c r="B53" i="18"/>
  <c r="B50" i="18"/>
  <c r="B48" i="18"/>
  <c r="B49" i="18"/>
  <c r="B42" i="18"/>
  <c r="B43" i="18"/>
  <c r="B44" i="18"/>
  <c r="B45" i="18"/>
  <c r="B47" i="18"/>
  <c r="B41" i="18"/>
  <c r="B40" i="18"/>
  <c r="B39" i="18"/>
  <c r="B35" i="18"/>
  <c r="B36" i="18"/>
  <c r="B37" i="18"/>
  <c r="B38" i="18"/>
  <c r="B28" i="18"/>
  <c r="B29" i="18"/>
  <c r="B30" i="18"/>
  <c r="B31" i="18"/>
  <c r="B32" i="18"/>
  <c r="B33" i="18"/>
  <c r="B34" i="18"/>
  <c r="B27" i="18"/>
  <c r="B25" i="18"/>
  <c r="B26" i="18"/>
  <c r="B24" i="18"/>
  <c r="B21" i="18"/>
  <c r="B22" i="18"/>
  <c r="B23" i="18"/>
  <c r="B20" i="18"/>
  <c r="B17" i="18"/>
  <c r="B18" i="18"/>
  <c r="B19" i="18"/>
  <c r="B16" i="18"/>
  <c r="B12" i="18"/>
  <c r="B10" i="18"/>
  <c r="B9" i="18"/>
  <c r="B8" i="18"/>
  <c r="B6" i="18"/>
  <c r="B7" i="18"/>
  <c r="B5" i="18"/>
  <c r="B17" i="19"/>
  <c r="B6" i="19"/>
  <c r="B7" i="19"/>
  <c r="B8" i="19"/>
  <c r="B9" i="19"/>
  <c r="B10" i="19"/>
  <c r="B11" i="19"/>
  <c r="B12" i="19"/>
  <c r="B13" i="19"/>
  <c r="B14" i="19"/>
  <c r="B15" i="19"/>
  <c r="B5" i="19"/>
  <c r="B6" i="23"/>
  <c r="B5" i="23"/>
  <c r="B8" i="25"/>
  <c r="B7" i="25"/>
  <c r="B6" i="25"/>
  <c r="B5" i="25"/>
  <c r="AG19" i="24"/>
  <c r="F8" i="25" s="1"/>
  <c r="AG18" i="24"/>
  <c r="AG15" i="24"/>
  <c r="F6" i="25" s="1"/>
  <c r="AG14" i="24"/>
  <c r="AG9" i="24"/>
  <c r="H8" i="25" s="1"/>
  <c r="AG8" i="24"/>
  <c r="AG5" i="24"/>
  <c r="H6" i="25" s="1"/>
  <c r="AG4" i="24"/>
  <c r="AG10" i="22"/>
  <c r="F6" i="23" s="1"/>
  <c r="A10" i="22"/>
  <c r="AG9" i="22"/>
  <c r="A9" i="22"/>
  <c r="AG5" i="22"/>
  <c r="H6" i="23" s="1"/>
  <c r="AG4" i="22"/>
  <c r="AG133" i="17"/>
  <c r="AG130" i="17"/>
  <c r="AG63" i="17"/>
  <c r="AG87" i="17" s="1"/>
  <c r="B9" i="20"/>
  <c r="B8" i="20"/>
  <c r="A22" i="21"/>
  <c r="A23" i="21"/>
  <c r="A21" i="21"/>
  <c r="AG23" i="21"/>
  <c r="AG22" i="21"/>
  <c r="F9" i="20" s="1"/>
  <c r="AG21" i="21"/>
  <c r="AG11" i="21"/>
  <c r="AG10" i="21"/>
  <c r="H9" i="20" s="1"/>
  <c r="AG9" i="21"/>
  <c r="A16" i="21"/>
  <c r="AG16" i="21"/>
  <c r="AG29" i="16"/>
  <c r="F13" i="19" s="1"/>
  <c r="AG30" i="16"/>
  <c r="F14" i="19" s="1"/>
  <c r="AG31" i="16"/>
  <c r="F15" i="19" s="1"/>
  <c r="AG32" i="16"/>
  <c r="F16" i="19" s="1"/>
  <c r="AG33" i="16"/>
  <c r="F17" i="19" s="1"/>
  <c r="A29" i="16"/>
  <c r="A30" i="16"/>
  <c r="A31" i="16"/>
  <c r="A32" i="16"/>
  <c r="A33" i="16"/>
  <c r="AG12" i="16"/>
  <c r="H13" i="19" s="1"/>
  <c r="AG13" i="16"/>
  <c r="H14" i="19" s="1"/>
  <c r="AG14" i="16"/>
  <c r="H15" i="19" s="1"/>
  <c r="AG15" i="16"/>
  <c r="H16" i="19" s="1"/>
  <c r="AG16" i="16"/>
  <c r="H17" i="19" s="1"/>
  <c r="A22" i="16"/>
  <c r="A23" i="16"/>
  <c r="A24" i="16"/>
  <c r="A25" i="16"/>
  <c r="A26" i="16"/>
  <c r="A27" i="16"/>
  <c r="A28" i="16"/>
  <c r="A21" i="16"/>
  <c r="A17" i="21"/>
  <c r="A18" i="21"/>
  <c r="AG16" i="24" l="1"/>
  <c r="AG24" i="21"/>
  <c r="F97" i="18"/>
  <c r="I97" i="18" s="1"/>
  <c r="B5" i="15"/>
  <c r="B29" i="36" s="1"/>
  <c r="AG20" i="24"/>
  <c r="F46" i="18"/>
  <c r="I46" i="18" s="1"/>
  <c r="F96" i="18"/>
  <c r="I96" i="18" s="1"/>
  <c r="F94" i="18"/>
  <c r="I94" i="18" s="1"/>
  <c r="F95" i="18"/>
  <c r="I95" i="18" s="1"/>
  <c r="F22" i="18"/>
  <c r="F32" i="18"/>
  <c r="F35" i="18"/>
  <c r="H42" i="18"/>
  <c r="F42" i="18"/>
  <c r="F60" i="18"/>
  <c r="H60" i="18"/>
  <c r="H66" i="18"/>
  <c r="F66" i="18"/>
  <c r="H80" i="18"/>
  <c r="F80" i="18"/>
  <c r="H72" i="18"/>
  <c r="F72" i="18"/>
  <c r="H88" i="18"/>
  <c r="F88" i="18"/>
  <c r="F12" i="18"/>
  <c r="F21" i="18"/>
  <c r="H39" i="18"/>
  <c r="F39" i="18"/>
  <c r="H52" i="18"/>
  <c r="F52" i="18"/>
  <c r="H59" i="18"/>
  <c r="F59" i="18"/>
  <c r="H71" i="18"/>
  <c r="F71" i="18"/>
  <c r="H75" i="18"/>
  <c r="F75" i="18"/>
  <c r="H91" i="18"/>
  <c r="F91" i="18"/>
  <c r="H14" i="18"/>
  <c r="F14" i="18"/>
  <c r="F7" i="18"/>
  <c r="F18" i="18"/>
  <c r="F25" i="18"/>
  <c r="H47" i="18"/>
  <c r="F47" i="18"/>
  <c r="H53" i="18"/>
  <c r="F53" i="18"/>
  <c r="H55" i="18"/>
  <c r="F55" i="18"/>
  <c r="F64" i="18"/>
  <c r="H64" i="18"/>
  <c r="H70" i="18"/>
  <c r="F70" i="18"/>
  <c r="H76" i="18"/>
  <c r="F76" i="18"/>
  <c r="H84" i="18"/>
  <c r="F84" i="18"/>
  <c r="H15" i="18"/>
  <c r="F15" i="18"/>
  <c r="F6" i="18"/>
  <c r="F17" i="18"/>
  <c r="F27" i="18"/>
  <c r="F31" i="18"/>
  <c r="H38" i="18"/>
  <c r="F38" i="18"/>
  <c r="H45" i="18"/>
  <c r="F45" i="18"/>
  <c r="H49" i="18"/>
  <c r="F49" i="18"/>
  <c r="F54" i="18"/>
  <c r="H54" i="18"/>
  <c r="H63" i="18"/>
  <c r="F63" i="18"/>
  <c r="H67" i="18"/>
  <c r="F67" i="18"/>
  <c r="H79" i="18"/>
  <c r="F79" i="18"/>
  <c r="H87" i="18"/>
  <c r="F87" i="18"/>
  <c r="H83" i="18"/>
  <c r="F83" i="18"/>
  <c r="F8" i="18"/>
  <c r="F34" i="18"/>
  <c r="F30" i="18"/>
  <c r="F37" i="18"/>
  <c r="H37" i="18"/>
  <c r="H40" i="18"/>
  <c r="F40" i="18"/>
  <c r="H44" i="18"/>
  <c r="F44" i="18"/>
  <c r="H48" i="18"/>
  <c r="F48" i="18"/>
  <c r="H51" i="18"/>
  <c r="F51" i="18"/>
  <c r="F58" i="18"/>
  <c r="H58" i="18"/>
  <c r="F62" i="18"/>
  <c r="H62" i="18"/>
  <c r="F65" i="18"/>
  <c r="H65" i="18"/>
  <c r="F69" i="18"/>
  <c r="H69" i="18"/>
  <c r="H82" i="18"/>
  <c r="F82" i="18"/>
  <c r="H78" i="18"/>
  <c r="F78" i="18"/>
  <c r="H74" i="18"/>
  <c r="F74" i="18"/>
  <c r="H86" i="18"/>
  <c r="F86" i="18"/>
  <c r="H90" i="18"/>
  <c r="F90" i="18"/>
  <c r="H92" i="18"/>
  <c r="F92" i="18"/>
  <c r="H13" i="18"/>
  <c r="F13" i="18"/>
  <c r="F10" i="18"/>
  <c r="F28" i="18"/>
  <c r="F16" i="18"/>
  <c r="F20" i="18"/>
  <c r="F24" i="18"/>
  <c r="F5" i="18"/>
  <c r="F9" i="18"/>
  <c r="F19" i="18"/>
  <c r="F23" i="18"/>
  <c r="F26" i="18"/>
  <c r="F33" i="18"/>
  <c r="F29" i="18"/>
  <c r="H36" i="18"/>
  <c r="F36" i="18"/>
  <c r="H41" i="18"/>
  <c r="F41" i="18"/>
  <c r="H43" i="18"/>
  <c r="F43" i="18"/>
  <c r="F50" i="18"/>
  <c r="H50" i="18"/>
  <c r="H56" i="18"/>
  <c r="F56" i="18"/>
  <c r="F57" i="18"/>
  <c r="H57" i="18"/>
  <c r="F61" i="18"/>
  <c r="H61" i="18"/>
  <c r="H68" i="18"/>
  <c r="F68" i="18"/>
  <c r="F81" i="18"/>
  <c r="H81" i="18"/>
  <c r="F77" i="18"/>
  <c r="H77" i="18"/>
  <c r="F73" i="18"/>
  <c r="H73" i="18"/>
  <c r="F85" i="18"/>
  <c r="H85" i="18"/>
  <c r="F89" i="18"/>
  <c r="H89" i="18"/>
  <c r="D93" i="18"/>
  <c r="F93" i="18"/>
  <c r="H93" i="18"/>
  <c r="AG153" i="17"/>
  <c r="D8" i="18"/>
  <c r="C8" i="18"/>
  <c r="D16" i="18"/>
  <c r="C16" i="18"/>
  <c r="D20" i="18"/>
  <c r="C20" i="18"/>
  <c r="D24" i="18"/>
  <c r="C24" i="18"/>
  <c r="D34" i="18"/>
  <c r="C34" i="18"/>
  <c r="D38" i="18"/>
  <c r="C38" i="18"/>
  <c r="D39" i="18"/>
  <c r="C39" i="18"/>
  <c r="D46" i="18"/>
  <c r="C46" i="18"/>
  <c r="D42" i="18"/>
  <c r="C42" i="18"/>
  <c r="C53" i="18"/>
  <c r="D53" i="18"/>
  <c r="D55" i="18"/>
  <c r="C55" i="18"/>
  <c r="D60" i="18"/>
  <c r="C60" i="18"/>
  <c r="D64" i="18"/>
  <c r="C64" i="18"/>
  <c r="D66" i="18"/>
  <c r="C66" i="18"/>
  <c r="D70" i="18"/>
  <c r="C70" i="18"/>
  <c r="C80" i="18"/>
  <c r="D80" i="18"/>
  <c r="D76" i="18"/>
  <c r="C76" i="18"/>
  <c r="D72" i="18"/>
  <c r="C72" i="18"/>
  <c r="D85" i="18"/>
  <c r="C85" i="18"/>
  <c r="D89" i="18"/>
  <c r="D14" i="18"/>
  <c r="C14" i="18"/>
  <c r="C5" i="18"/>
  <c r="D5" i="18"/>
  <c r="D9" i="18"/>
  <c r="C9" i="18"/>
  <c r="D19" i="18"/>
  <c r="C19" i="18"/>
  <c r="D23" i="18"/>
  <c r="C23" i="18"/>
  <c r="D26" i="18"/>
  <c r="C26" i="18"/>
  <c r="D33" i="18"/>
  <c r="C33" i="18"/>
  <c r="C30" i="18"/>
  <c r="D30" i="18"/>
  <c r="D37" i="18"/>
  <c r="C37" i="18"/>
  <c r="D40" i="18"/>
  <c r="C40" i="18"/>
  <c r="D45" i="18"/>
  <c r="C45" i="18"/>
  <c r="C49" i="18"/>
  <c r="D49" i="18"/>
  <c r="D52" i="18"/>
  <c r="C52" i="18"/>
  <c r="D54" i="18"/>
  <c r="C54" i="18"/>
  <c r="D59" i="18"/>
  <c r="C59" i="18"/>
  <c r="D63" i="18"/>
  <c r="C63" i="18"/>
  <c r="D67" i="18"/>
  <c r="C67" i="18"/>
  <c r="D71" i="18"/>
  <c r="C71" i="18"/>
  <c r="D79" i="18"/>
  <c r="C79" i="18"/>
  <c r="D75" i="18"/>
  <c r="C75" i="18"/>
  <c r="D87" i="18"/>
  <c r="D84" i="18"/>
  <c r="C84" i="18"/>
  <c r="D88" i="18"/>
  <c r="D13" i="18"/>
  <c r="C13" i="18"/>
  <c r="D7" i="18"/>
  <c r="C7" i="18"/>
  <c r="D10" i="18"/>
  <c r="C10" i="18"/>
  <c r="C18" i="18"/>
  <c r="D18" i="18"/>
  <c r="D22" i="18"/>
  <c r="C22" i="18"/>
  <c r="D25" i="18"/>
  <c r="C25" i="18"/>
  <c r="D32" i="18"/>
  <c r="C32" i="18"/>
  <c r="D29" i="18"/>
  <c r="C29" i="18"/>
  <c r="D36" i="18"/>
  <c r="C36" i="18"/>
  <c r="C41" i="18"/>
  <c r="D41" i="18"/>
  <c r="D44" i="18"/>
  <c r="C44" i="18"/>
  <c r="D48" i="18"/>
  <c r="C48" i="18"/>
  <c r="D51" i="18"/>
  <c r="C51" i="18"/>
  <c r="D58" i="18"/>
  <c r="C58" i="18"/>
  <c r="D62" i="18"/>
  <c r="C62" i="18"/>
  <c r="C65" i="18"/>
  <c r="D65" i="18"/>
  <c r="D69" i="18"/>
  <c r="C69" i="18"/>
  <c r="D82" i="18"/>
  <c r="C82" i="18"/>
  <c r="D78" i="18"/>
  <c r="C78" i="18"/>
  <c r="D74" i="18"/>
  <c r="C74" i="18"/>
  <c r="D83" i="18"/>
  <c r="C83" i="18"/>
  <c r="D91" i="18"/>
  <c r="D6" i="18"/>
  <c r="C6" i="18"/>
  <c r="D12" i="18"/>
  <c r="C12" i="18"/>
  <c r="D17" i="18"/>
  <c r="C17" i="18"/>
  <c r="D21" i="18"/>
  <c r="C21" i="18"/>
  <c r="D27" i="18"/>
  <c r="C27" i="18"/>
  <c r="D31" i="18"/>
  <c r="C31" i="18"/>
  <c r="D28" i="18"/>
  <c r="C28" i="18"/>
  <c r="D35" i="18"/>
  <c r="C35" i="18"/>
  <c r="D47" i="18"/>
  <c r="C47" i="18"/>
  <c r="D43" i="18"/>
  <c r="C43" i="18"/>
  <c r="D50" i="18"/>
  <c r="C50" i="18"/>
  <c r="D56" i="18"/>
  <c r="C56" i="18"/>
  <c r="D57" i="18"/>
  <c r="C57" i="18"/>
  <c r="C61" i="18"/>
  <c r="D61" i="18"/>
  <c r="D68" i="18"/>
  <c r="C68" i="18"/>
  <c r="D81" i="18"/>
  <c r="C81" i="18"/>
  <c r="D77" i="18"/>
  <c r="C77" i="18"/>
  <c r="D73" i="18"/>
  <c r="C73" i="18"/>
  <c r="D86" i="18"/>
  <c r="C86" i="18"/>
  <c r="D90" i="18"/>
  <c r="D92" i="18"/>
  <c r="D15" i="18"/>
  <c r="C15" i="18"/>
  <c r="I16" i="19"/>
  <c r="C8" i="25"/>
  <c r="D8" i="25"/>
  <c r="D9" i="19"/>
  <c r="C9" i="19"/>
  <c r="D8" i="20"/>
  <c r="C8" i="20"/>
  <c r="H5" i="25"/>
  <c r="AG6" i="24"/>
  <c r="D5" i="25"/>
  <c r="C5" i="25"/>
  <c r="D5" i="23"/>
  <c r="C5" i="23"/>
  <c r="D14" i="19"/>
  <c r="C14" i="19"/>
  <c r="D11" i="19"/>
  <c r="C11" i="19"/>
  <c r="D8" i="19"/>
  <c r="C8" i="19"/>
  <c r="C17" i="19"/>
  <c r="D17" i="19"/>
  <c r="D9" i="20"/>
  <c r="C9" i="20"/>
  <c r="F5" i="23"/>
  <c r="F7" i="23" s="1"/>
  <c r="AG11" i="22"/>
  <c r="D6" i="25"/>
  <c r="C6" i="25"/>
  <c r="D6" i="23"/>
  <c r="C6" i="23"/>
  <c r="C10" i="19"/>
  <c r="D10" i="19"/>
  <c r="C7" i="19"/>
  <c r="D7" i="19"/>
  <c r="AG19" i="27"/>
  <c r="H8" i="20"/>
  <c r="AG12" i="21"/>
  <c r="D15" i="19"/>
  <c r="C15" i="19"/>
  <c r="AG131" i="17"/>
  <c r="AG134" i="17"/>
  <c r="H5" i="23"/>
  <c r="AG6" i="22"/>
  <c r="H7" i="25"/>
  <c r="AG10" i="24"/>
  <c r="F7" i="25"/>
  <c r="C7" i="25"/>
  <c r="D7" i="25"/>
  <c r="D5" i="19"/>
  <c r="C5" i="19"/>
  <c r="C13" i="19"/>
  <c r="D13" i="19"/>
  <c r="C6" i="19"/>
  <c r="D6" i="19"/>
  <c r="D12" i="19"/>
  <c r="C12" i="19"/>
  <c r="F8" i="20"/>
  <c r="F5" i="25"/>
  <c r="AG37" i="27"/>
  <c r="I89" i="12"/>
  <c r="I11" i="18"/>
  <c r="I17" i="19"/>
  <c r="I14" i="19"/>
  <c r="I15" i="19"/>
  <c r="I6" i="25"/>
  <c r="I8" i="25"/>
  <c r="I6" i="23"/>
  <c r="H6" i="18"/>
  <c r="H7" i="18"/>
  <c r="AG9" i="17"/>
  <c r="H8" i="18" s="1"/>
  <c r="AG12" i="17"/>
  <c r="H9" i="18" s="1"/>
  <c r="AG15" i="17"/>
  <c r="H10" i="18" s="1"/>
  <c r="H12" i="18"/>
  <c r="AG27" i="17"/>
  <c r="H16" i="18" s="1"/>
  <c r="H17" i="18"/>
  <c r="H18" i="18"/>
  <c r="H19" i="18"/>
  <c r="AG34" i="17"/>
  <c r="H20" i="18" s="1"/>
  <c r="H21" i="18"/>
  <c r="H22" i="18"/>
  <c r="H23" i="18"/>
  <c r="AG41" i="17"/>
  <c r="H24" i="18" s="1"/>
  <c r="H25" i="18"/>
  <c r="H26" i="18"/>
  <c r="AG46" i="17"/>
  <c r="H28" i="18"/>
  <c r="H29" i="18"/>
  <c r="H30" i="18"/>
  <c r="H31" i="18"/>
  <c r="H32" i="18"/>
  <c r="H33" i="18"/>
  <c r="H34" i="18"/>
  <c r="H35" i="18"/>
  <c r="B6" i="20"/>
  <c r="B7" i="20"/>
  <c r="B5" i="20"/>
  <c r="H9" i="25" l="1"/>
  <c r="F9" i="25"/>
  <c r="AG12" i="22"/>
  <c r="AG21" i="24"/>
  <c r="D11" i="36"/>
  <c r="D15" i="36"/>
  <c r="D19" i="36"/>
  <c r="D13" i="36"/>
  <c r="D17" i="36"/>
  <c r="D14" i="36"/>
  <c r="D12" i="36"/>
  <c r="D8" i="36"/>
  <c r="D9" i="36"/>
  <c r="D10" i="36"/>
  <c r="H27" i="18"/>
  <c r="D18" i="36" s="1"/>
  <c r="AG61" i="17"/>
  <c r="I60" i="18"/>
  <c r="I72" i="18"/>
  <c r="I66" i="18"/>
  <c r="I42" i="18"/>
  <c r="I88" i="18"/>
  <c r="I80" i="18"/>
  <c r="I53" i="18"/>
  <c r="I85" i="18"/>
  <c r="I58" i="18"/>
  <c r="I64" i="18"/>
  <c r="I47" i="18"/>
  <c r="I89" i="18"/>
  <c r="I73" i="18"/>
  <c r="I81" i="18"/>
  <c r="I57" i="18"/>
  <c r="I50" i="18"/>
  <c r="I65" i="18"/>
  <c r="I93" i="18"/>
  <c r="I68" i="18"/>
  <c r="I56" i="18"/>
  <c r="I43" i="18"/>
  <c r="I92" i="18"/>
  <c r="I86" i="18"/>
  <c r="I78" i="18"/>
  <c r="I51" i="18"/>
  <c r="I44" i="18"/>
  <c r="I54" i="18"/>
  <c r="I77" i="18"/>
  <c r="I61" i="18"/>
  <c r="I83" i="18"/>
  <c r="I79" i="18"/>
  <c r="I63" i="18"/>
  <c r="I49" i="18"/>
  <c r="I84" i="18"/>
  <c r="I70" i="18"/>
  <c r="I55" i="18"/>
  <c r="I14" i="18"/>
  <c r="I75" i="18"/>
  <c r="I59" i="18"/>
  <c r="I69" i="18"/>
  <c r="I62" i="18"/>
  <c r="I13" i="18"/>
  <c r="I90" i="18"/>
  <c r="I74" i="18"/>
  <c r="I82" i="18"/>
  <c r="I48" i="18"/>
  <c r="I87" i="18"/>
  <c r="I45" i="18"/>
  <c r="I15" i="18"/>
  <c r="I76" i="18"/>
  <c r="I91" i="18"/>
  <c r="I52" i="18"/>
  <c r="I5" i="25"/>
  <c r="I7" i="25"/>
  <c r="I5" i="23"/>
  <c r="I7" i="23" s="1"/>
  <c r="H7" i="23"/>
  <c r="D25" i="36"/>
  <c r="D22" i="36"/>
  <c r="D23" i="36"/>
  <c r="I71" i="18"/>
  <c r="AG13" i="17"/>
  <c r="D6" i="20"/>
  <c r="C6" i="20"/>
  <c r="D5" i="20"/>
  <c r="C5" i="20"/>
  <c r="D7" i="20"/>
  <c r="C7" i="20"/>
  <c r="AG25" i="17"/>
  <c r="I67" i="18"/>
  <c r="AG44" i="17"/>
  <c r="AG39" i="17"/>
  <c r="AG32" i="17"/>
  <c r="AG10" i="17"/>
  <c r="H22" i="12"/>
  <c r="I9" i="25" l="1"/>
  <c r="AG18" i="21"/>
  <c r="F7" i="20" s="1"/>
  <c r="AG17" i="21"/>
  <c r="F5" i="20"/>
  <c r="I8" i="20"/>
  <c r="AG6" i="21"/>
  <c r="H7" i="20" s="1"/>
  <c r="AG5" i="21"/>
  <c r="H6" i="20" s="1"/>
  <c r="AG4" i="21"/>
  <c r="I9" i="20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2" i="18"/>
  <c r="I10" i="18"/>
  <c r="I9" i="18"/>
  <c r="I8" i="18"/>
  <c r="I7" i="18"/>
  <c r="I6" i="18"/>
  <c r="AG4" i="17"/>
  <c r="AG7" i="17" s="1"/>
  <c r="H5" i="18" l="1"/>
  <c r="H5" i="20"/>
  <c r="AG7" i="21"/>
  <c r="F6" i="20"/>
  <c r="F10" i="20" s="1"/>
  <c r="AG19" i="21"/>
  <c r="AG25" i="21" s="1"/>
  <c r="I7" i="20"/>
  <c r="AG28" i="16"/>
  <c r="F12" i="19" s="1"/>
  <c r="AG27" i="16"/>
  <c r="F11" i="19" s="1"/>
  <c r="AG26" i="16"/>
  <c r="F10" i="19" s="1"/>
  <c r="AG25" i="16"/>
  <c r="F9" i="19" s="1"/>
  <c r="AG24" i="16"/>
  <c r="F8" i="19" s="1"/>
  <c r="AG23" i="16"/>
  <c r="AG22" i="16"/>
  <c r="F6" i="19" s="1"/>
  <c r="AG21" i="16"/>
  <c r="F5" i="19" s="1"/>
  <c r="AG11" i="16"/>
  <c r="H12" i="19" s="1"/>
  <c r="AG10" i="16"/>
  <c r="H11" i="19" s="1"/>
  <c r="AG9" i="16"/>
  <c r="H10" i="19" s="1"/>
  <c r="AG8" i="16"/>
  <c r="H9" i="19" s="1"/>
  <c r="AG7" i="16"/>
  <c r="H8" i="19" s="1"/>
  <c r="AG6" i="16"/>
  <c r="H7" i="19" s="1"/>
  <c r="AG5" i="16"/>
  <c r="H6" i="19" s="1"/>
  <c r="AG4" i="16"/>
  <c r="F87" i="12"/>
  <c r="F86" i="12"/>
  <c r="F85" i="12"/>
  <c r="F83" i="12"/>
  <c r="F82" i="12"/>
  <c r="F81" i="12"/>
  <c r="F80" i="12"/>
  <c r="F79" i="12"/>
  <c r="F78" i="12"/>
  <c r="F77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1" i="12"/>
  <c r="F60" i="12"/>
  <c r="F91" i="12"/>
  <c r="I91" i="12" s="1"/>
  <c r="F58" i="12"/>
  <c r="F57" i="12"/>
  <c r="F56" i="12"/>
  <c r="F88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9" i="12"/>
  <c r="F8" i="12"/>
  <c r="F7" i="12"/>
  <c r="F6" i="12"/>
  <c r="F5" i="12"/>
  <c r="I5" i="20" l="1"/>
  <c r="H10" i="20"/>
  <c r="D16" i="36"/>
  <c r="F84" i="12"/>
  <c r="F103" i="12" s="1"/>
  <c r="D21" i="36"/>
  <c r="D20" i="36"/>
  <c r="H5" i="19"/>
  <c r="H18" i="19" s="1"/>
  <c r="AG17" i="16"/>
  <c r="I6" i="20"/>
  <c r="F7" i="19"/>
  <c r="AG34" i="16"/>
  <c r="I5" i="18"/>
  <c r="I13" i="19"/>
  <c r="I10" i="19"/>
  <c r="I11" i="19"/>
  <c r="I9" i="19"/>
  <c r="I12" i="19"/>
  <c r="I8" i="19"/>
  <c r="I6" i="19"/>
  <c r="H6" i="12"/>
  <c r="H8" i="12"/>
  <c r="H9" i="12"/>
  <c r="H10" i="12"/>
  <c r="H11" i="12"/>
  <c r="H12" i="12"/>
  <c r="H13" i="12"/>
  <c r="AG16" i="14"/>
  <c r="H15" i="12"/>
  <c r="H16" i="12"/>
  <c r="H17" i="12"/>
  <c r="H18" i="12"/>
  <c r="H19" i="12"/>
  <c r="H20" i="12"/>
  <c r="H21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88" i="12"/>
  <c r="I88" i="12" s="1"/>
  <c r="H56" i="12"/>
  <c r="H57" i="12"/>
  <c r="H58" i="12"/>
  <c r="H60" i="12"/>
  <c r="H61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4" i="12"/>
  <c r="H85" i="12"/>
  <c r="H86" i="12"/>
  <c r="H87" i="12"/>
  <c r="AG4" i="14"/>
  <c r="D26" i="36" l="1"/>
  <c r="I10" i="20"/>
  <c r="H5" i="12"/>
  <c r="H14" i="12"/>
  <c r="I14" i="12" s="1"/>
  <c r="I5" i="19"/>
  <c r="H83" i="12"/>
  <c r="I83" i="12" s="1"/>
  <c r="F18" i="19"/>
  <c r="I7" i="19"/>
  <c r="I80" i="12"/>
  <c r="I26" i="12"/>
  <c r="I72" i="12"/>
  <c r="I77" i="12"/>
  <c r="I63" i="12"/>
  <c r="I42" i="12"/>
  <c r="I30" i="12"/>
  <c r="I16" i="12"/>
  <c r="I86" i="12"/>
  <c r="I87" i="12"/>
  <c r="I73" i="12"/>
  <c r="I65" i="12"/>
  <c r="I79" i="12"/>
  <c r="I69" i="12"/>
  <c r="I74" i="12"/>
  <c r="I50" i="12"/>
  <c r="I70" i="12"/>
  <c r="I51" i="12"/>
  <c r="I43" i="12"/>
  <c r="I84" i="12"/>
  <c r="I67" i="12"/>
  <c r="I68" i="12"/>
  <c r="I46" i="12"/>
  <c r="I66" i="12"/>
  <c r="I47" i="12"/>
  <c r="I22" i="12"/>
  <c r="I76" i="12"/>
  <c r="I82" i="12"/>
  <c r="I44" i="12"/>
  <c r="I41" i="12"/>
  <c r="I45" i="12"/>
  <c r="I49" i="12"/>
  <c r="I78" i="12"/>
  <c r="I71" i="12"/>
  <c r="I64" i="12"/>
  <c r="I48" i="12"/>
  <c r="I75" i="12"/>
  <c r="I81" i="12"/>
  <c r="I85" i="12"/>
  <c r="I54" i="12"/>
  <c r="I61" i="12"/>
  <c r="I59" i="12"/>
  <c r="I58" i="12"/>
  <c r="I60" i="12"/>
  <c r="I57" i="12"/>
  <c r="I56" i="12"/>
  <c r="I55" i="12"/>
  <c r="I53" i="12"/>
  <c r="I31" i="12"/>
  <c r="I27" i="12"/>
  <c r="I28" i="12"/>
  <c r="I34" i="12"/>
  <c r="I39" i="12"/>
  <c r="I33" i="12"/>
  <c r="I35" i="12"/>
  <c r="I36" i="12"/>
  <c r="I38" i="12"/>
  <c r="I37" i="12"/>
  <c r="I32" i="12"/>
  <c r="I29" i="12"/>
  <c r="I25" i="12"/>
  <c r="I24" i="12"/>
  <c r="I23" i="12"/>
  <c r="I21" i="12"/>
  <c r="I20" i="12"/>
  <c r="I19" i="12"/>
  <c r="I18" i="12"/>
  <c r="I17" i="12"/>
  <c r="I15" i="12"/>
  <c r="I8" i="12"/>
  <c r="I11" i="12"/>
  <c r="I13" i="12"/>
  <c r="I12" i="12"/>
  <c r="I10" i="12"/>
  <c r="I7" i="12"/>
  <c r="H103" i="12" l="1"/>
  <c r="B28" i="36" s="1"/>
  <c r="I18" i="19"/>
  <c r="I5" i="12"/>
  <c r="I52" i="12"/>
  <c r="I40" i="12"/>
  <c r="I6" i="12"/>
  <c r="I9" i="12"/>
  <c r="I103" i="12" l="1"/>
  <c r="B27" i="36"/>
  <c r="B30" i="36" s="1"/>
</calcChain>
</file>

<file path=xl/sharedStrings.xml><?xml version="1.0" encoding="utf-8"?>
<sst xmlns="http://schemas.openxmlformats.org/spreadsheetml/2006/main" count="1787" uniqueCount="477">
  <si>
    <t>Nemesné Kovács Mónika</t>
  </si>
  <si>
    <t>Nevelősné Mikus Piroska</t>
  </si>
  <si>
    <t>Mórocz Erzsébet</t>
  </si>
  <si>
    <t>Palyov Alexandra</t>
  </si>
  <si>
    <t>Szekretár Anna</t>
  </si>
  <si>
    <t>Tusjak Mariann</t>
  </si>
  <si>
    <t>Kozák Lászlóné</t>
  </si>
  <si>
    <t>Takács Józsefné</t>
  </si>
  <si>
    <t>Stuller Istvánné</t>
  </si>
  <si>
    <t>Klimaj Zoltánné</t>
  </si>
  <si>
    <t>Összesen</t>
  </si>
  <si>
    <t>Bravik Krisztián</t>
  </si>
  <si>
    <t>Dudás Renáta</t>
  </si>
  <si>
    <t>Gazsó Linda</t>
  </si>
  <si>
    <t>Ivacska Istvánné</t>
  </si>
  <si>
    <t>Kovács Éva</t>
  </si>
  <si>
    <t>Kovács Viktoria</t>
  </si>
  <si>
    <t>Körmendi Szilvia</t>
  </si>
  <si>
    <t>Lólé Margit</t>
  </si>
  <si>
    <t>Medvegyné Jelen Anna</t>
  </si>
  <si>
    <t>Nagy Zoltán</t>
  </si>
  <si>
    <t>Szirony László</t>
  </si>
  <si>
    <t>Virágh Mária</t>
  </si>
  <si>
    <t>Kondacsné Alt Piroska</t>
  </si>
  <si>
    <t>Laurikné Szakács Katalin</t>
  </si>
  <si>
    <t>Balogh Beáta</t>
  </si>
  <si>
    <t>Styecz Judit</t>
  </si>
  <si>
    <t>Szloszjár Tímea</t>
  </si>
  <si>
    <t>Novodomszky Szilvia</t>
  </si>
  <si>
    <t>Litauszki János</t>
  </si>
  <si>
    <t>Kőfalvi Roland</t>
  </si>
  <si>
    <t>Závogyán Zoltán</t>
  </si>
  <si>
    <t>Lévai Rita</t>
  </si>
  <si>
    <t>Balogh Mária</t>
  </si>
  <si>
    <t>Kusnyarné stefancsik Zsuzsanna</t>
  </si>
  <si>
    <t>Gyuris Krisztina</t>
  </si>
  <si>
    <t>Brusznyiczki Csaba</t>
  </si>
  <si>
    <t>Domján Balázsné</t>
  </si>
  <si>
    <t>Harangozó Zsuzsanna</t>
  </si>
  <si>
    <t>Kondacs László</t>
  </si>
  <si>
    <t>Kőfalvi Róbertné</t>
  </si>
  <si>
    <t>Pápai Attila</t>
  </si>
  <si>
    <t>Nagy Ágnes</t>
  </si>
  <si>
    <t>Nagy Lászlóné</t>
  </si>
  <si>
    <t>Skorka Zoltánné</t>
  </si>
  <si>
    <t>Harangozó Istvánné</t>
  </si>
  <si>
    <t>Brusznyiczki Ágnes</t>
  </si>
  <si>
    <t>Bezzeg László</t>
  </si>
  <si>
    <t>Csellár Anikó</t>
  </si>
  <si>
    <t>Harasztos Zsuzsanna</t>
  </si>
  <si>
    <t>Harmati Zsolt</t>
  </si>
  <si>
    <t>Kovács Mihályné</t>
  </si>
  <si>
    <t>Miloszrodni Istvánné</t>
  </si>
  <si>
    <t>Poljak Mihályné</t>
  </si>
  <si>
    <t>Szloszjar Jánosné</t>
  </si>
  <si>
    <t>Takácsné Krajcsovicz Anna</t>
  </si>
  <si>
    <t>Tibáné Kanalas Ilona</t>
  </si>
  <si>
    <t>Uhljar Mátyás</t>
  </si>
  <si>
    <t>Brachna Anita</t>
  </si>
  <si>
    <t>Pekár Mihály</t>
  </si>
  <si>
    <t>Hajdú Ágnes</t>
  </si>
  <si>
    <t>Fabó Edit</t>
  </si>
  <si>
    <t>Kamarás Mária</t>
  </si>
  <si>
    <t>Szaszák Ildikó</t>
  </si>
  <si>
    <t>Kovácsné Horváth Gyöngyi</t>
  </si>
  <si>
    <t>Dayka Károly</t>
  </si>
  <si>
    <t>Mári Sándor</t>
  </si>
  <si>
    <t>Korim Judit</t>
  </si>
  <si>
    <t>Gulyás Mihályné</t>
  </si>
  <si>
    <t>Sonkoly Enikő</t>
  </si>
  <si>
    <t>Rimavecz Mihályné</t>
  </si>
  <si>
    <t>Szűcs Anikó</t>
  </si>
  <si>
    <t>Vantruba Margit</t>
  </si>
  <si>
    <t>Molnár Mihályné</t>
  </si>
  <si>
    <t>Trnyik Györgyné</t>
  </si>
  <si>
    <t>Zahorecz Mihályné</t>
  </si>
  <si>
    <t>Frankó Pál</t>
  </si>
  <si>
    <t>Molnár Mihály</t>
  </si>
  <si>
    <t>Laukó Pálné</t>
  </si>
  <si>
    <t>Szebeni Gyöngyi</t>
  </si>
  <si>
    <t>Homonnainé Brachna Ágnes</t>
  </si>
  <si>
    <t>Sinka-Rágyanszki Réka</t>
  </si>
  <si>
    <t>Adatszolgáltatás számlázáshoz</t>
  </si>
  <si>
    <t>Dolgozói Étkeztetés</t>
  </si>
  <si>
    <t>Ótemplomi Szeretetszolgálat</t>
  </si>
  <si>
    <t xml:space="preserve">Étkeztetésben részesülők. </t>
  </si>
  <si>
    <t>Név</t>
  </si>
  <si>
    <t>Adagszám (db)</t>
  </si>
  <si>
    <t>1.</t>
  </si>
  <si>
    <t>2.</t>
  </si>
  <si>
    <t>3.</t>
  </si>
  <si>
    <t>4.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</si>
  <si>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</si>
  <si>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</si>
  <si>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</si>
  <si>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</si>
  <si>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</si>
  <si>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</si>
  <si>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</si>
  <si>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</si>
  <si>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</si>
  <si>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</si>
  <si>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</si>
  <si>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</si>
  <si>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</si>
  <si>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</si>
  <si>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</si>
  <si>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</si>
  <si>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</si>
  <si>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</si>
  <si>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</si>
  <si>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</si>
  <si>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</si>
  <si>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</si>
  <si>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</si>
  <si>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</si>
  <si>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</si>
  <si>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</si>
  <si>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</si>
  <si>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</si>
  <si>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</si>
  <si>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</si>
  <si>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</si>
  <si>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</si>
  <si>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</si>
  <si>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</si>
  <si>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</si>
  <si>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Kelt:Szarvas,2018 május 31.</t>
  </si>
  <si>
    <t>Készítette:Domján Balázsné</t>
  </si>
  <si>
    <t>Bruttó egységár(Ft)</t>
  </si>
  <si>
    <t>Bruttó egységár (Ft)</t>
  </si>
  <si>
    <t>Adagszám(db)</t>
  </si>
  <si>
    <t>Számlázandó összesen (Ft)</t>
  </si>
  <si>
    <t>SSz.</t>
  </si>
  <si>
    <t>5.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</si>
  <si>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</si>
  <si>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</si>
  <si>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</si>
  <si>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</si>
  <si>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</si>
  <si>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</si>
  <si>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</si>
  <si>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</si>
  <si>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</si>
  <si>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</si>
  <si>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</si>
  <si>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</si>
  <si>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</si>
  <si>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</si>
  <si>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</si>
  <si>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</si>
  <si>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</si>
  <si>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</si>
  <si>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</si>
  <si>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</si>
  <si>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</si>
  <si>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</si>
  <si>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</si>
  <si>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</si>
  <si>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</si>
  <si>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</si>
  <si>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</si>
  <si>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</si>
  <si>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</si>
  <si>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</si>
  <si>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</si>
  <si>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</si>
  <si>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</si>
  <si>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</si>
  <si>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</si>
  <si>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</si>
  <si>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</si>
  <si>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</si>
  <si>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</si>
  <si>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</si>
  <si>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</si>
  <si>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</si>
  <si>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</si>
  <si>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</si>
  <si>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</si>
  <si>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</si>
  <si>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</si>
  <si>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Dolgozói ebéd</t>
  </si>
  <si>
    <t>Kedvezményezett ebéd</t>
  </si>
  <si>
    <t>Dátum</t>
  </si>
  <si>
    <t>Adagszám</t>
  </si>
  <si>
    <t>Napi összesen:</t>
  </si>
  <si>
    <t>Szakácsoknak</t>
  </si>
  <si>
    <t>Dolgozói ebéd(460)</t>
  </si>
  <si>
    <t>Dolgozói ebéd(380)</t>
  </si>
  <si>
    <t>Nevek</t>
  </si>
  <si>
    <t>Kovácsné Molnár Katalin</t>
  </si>
  <si>
    <t>Szilágyi Ildikó</t>
  </si>
  <si>
    <t>Lipták Jánosné</t>
  </si>
  <si>
    <t>Sepeczán Erzsébet</t>
  </si>
  <si>
    <t>Pálfiné Török Eszter</t>
  </si>
  <si>
    <t>Szurdiné Birkás Éva</t>
  </si>
  <si>
    <t>Csabacsűd</t>
  </si>
  <si>
    <t>88.</t>
  </si>
  <si>
    <t>89.</t>
  </si>
  <si>
    <t>Fábri Györgyné</t>
  </si>
  <si>
    <t>Fazakasné Halizczki Judit</t>
  </si>
  <si>
    <t>Hudákné Juhos Mária</t>
  </si>
  <si>
    <t>Katona Sándorné</t>
  </si>
  <si>
    <t>Medvegyné Babarik Erika</t>
  </si>
  <si>
    <t>Nemesváriné Papp Katalin</t>
  </si>
  <si>
    <t>Poljóka Jánosné</t>
  </si>
  <si>
    <t>Tóth Mihályné</t>
  </si>
  <si>
    <t>Házisegítség nyújtás</t>
  </si>
  <si>
    <t>Kisné Galáth Annamária</t>
  </si>
  <si>
    <t>Molnár Györgyné</t>
  </si>
  <si>
    <t>Breznyik Zsuzsanna</t>
  </si>
  <si>
    <t>Idősek Nappali Ellátás</t>
  </si>
  <si>
    <t>Ipsitsné Gergely Anna</t>
  </si>
  <si>
    <t>Láng Emese</t>
  </si>
  <si>
    <t>Galó Tamás</t>
  </si>
  <si>
    <t>Molnár Pál</t>
  </si>
  <si>
    <t>Csire Melinda</t>
  </si>
  <si>
    <t>Fülepi Aranka</t>
  </si>
  <si>
    <t>Pribelszki András</t>
  </si>
  <si>
    <t>Valyó András</t>
  </si>
  <si>
    <t>Balatoni Anita</t>
  </si>
  <si>
    <t>Erdei Sándorné</t>
  </si>
  <si>
    <t>Gazsó László</t>
  </si>
  <si>
    <t>Molnárné Szappanos Ilona T.</t>
  </si>
  <si>
    <t>Kis Gabriella</t>
  </si>
  <si>
    <t>Kiszelné Nyemcsok Edit</t>
  </si>
  <si>
    <t>Krajcsiné Petrov Gabriella</t>
  </si>
  <si>
    <t>Stancsikné Hruska Judit</t>
  </si>
  <si>
    <t>Boldizsár Beáta</t>
  </si>
  <si>
    <t>Erdei Sándor</t>
  </si>
  <si>
    <t>Molnár Andrásné</t>
  </si>
  <si>
    <t>Balogh Kálmán</t>
  </si>
  <si>
    <t>Benei Martina</t>
  </si>
  <si>
    <t>Bulla Viktor</t>
  </si>
  <si>
    <t>Csík Attila</t>
  </si>
  <si>
    <t>Harmati Pál</t>
  </si>
  <si>
    <t>Laurik József</t>
  </si>
  <si>
    <t>Lázár Zsolt</t>
  </si>
  <si>
    <t>Medvegy Julianna</t>
  </si>
  <si>
    <t>Portik Andrea</t>
  </si>
  <si>
    <t>Sárkány János</t>
  </si>
  <si>
    <t>Sindely Imréné</t>
  </si>
  <si>
    <t>Tóthné Tótka Edit</t>
  </si>
  <si>
    <t>Túróczi Rudolfné</t>
  </si>
  <si>
    <t>Varga Katalin</t>
  </si>
  <si>
    <t>Csaba Csilla</t>
  </si>
  <si>
    <t>Csányiné Szarka Ilona</t>
  </si>
  <si>
    <t>Desta-Woldie Wond Wossenné</t>
  </si>
  <si>
    <t>Farkas Józsefné</t>
  </si>
  <si>
    <t>Franyó Angéla</t>
  </si>
  <si>
    <t>Juhosné Czesznak Ágnes</t>
  </si>
  <si>
    <t>Kozák Csilla</t>
  </si>
  <si>
    <t>Kozmáné Krajcsovics Ildikó</t>
  </si>
  <si>
    <t>Lestyan Klára</t>
  </si>
  <si>
    <t>Máté Tünde</t>
  </si>
  <si>
    <t>Molnárné Gulyás Mária</t>
  </si>
  <si>
    <t>Nagy Viktória</t>
  </si>
  <si>
    <t>Németh Andrásné</t>
  </si>
  <si>
    <t>Oncsik Mihályné</t>
  </si>
  <si>
    <t>Palyovné Kovács Erzsébet</t>
  </si>
  <si>
    <t>Petneházi-Kmetykó Brigitta</t>
  </si>
  <si>
    <t>Rafael Jenőné</t>
  </si>
  <si>
    <t>Rafaj Pálné</t>
  </si>
  <si>
    <t>Szopka Andrásné</t>
  </si>
  <si>
    <t>Sztancsik Pálné</t>
  </si>
  <si>
    <t>Tasi Zsuzsanna</t>
  </si>
  <si>
    <t>Tóthné Rafael Ágnes</t>
  </si>
  <si>
    <t>Zahorecz Nóra Angéla</t>
  </si>
  <si>
    <t>Kozsuch Jánosné</t>
  </si>
  <si>
    <t>Gellai Violetta</t>
  </si>
  <si>
    <t>Oncsik János</t>
  </si>
  <si>
    <t>Demeter Gabriella</t>
  </si>
  <si>
    <t>Dorogi Adrienn</t>
  </si>
  <si>
    <t>Koszti Pál Zoltán</t>
  </si>
  <si>
    <t>Bánfi András</t>
  </si>
  <si>
    <t>Báthori Andrea</t>
  </si>
  <si>
    <t>Blaskó Pálné</t>
  </si>
  <si>
    <t>Csícsely-Truczka Tímea</t>
  </si>
  <si>
    <t>Fodor Gabriella</t>
  </si>
  <si>
    <t>Gombár Lászlóné</t>
  </si>
  <si>
    <t>Jurák Andrásné</t>
  </si>
  <si>
    <t>Kiszely Tamás</t>
  </si>
  <si>
    <t>Kovács Jánosné</t>
  </si>
  <si>
    <t>Krajcsovic Mihályné</t>
  </si>
  <si>
    <t>Kunstár Erzsébet</t>
  </si>
  <si>
    <t>Molnár György</t>
  </si>
  <si>
    <t>Nagy Béláné</t>
  </si>
  <si>
    <t>Pekárik Istvánné</t>
  </si>
  <si>
    <t>Petrovics Sándor</t>
  </si>
  <si>
    <t>Szuhaj György</t>
  </si>
  <si>
    <t>Tamás Zoltánné</t>
  </si>
  <si>
    <t>Tasi Éva</t>
  </si>
  <si>
    <t>Ungvári Imréné</t>
  </si>
  <si>
    <t>Valló Lászlóné</t>
  </si>
  <si>
    <t>Vassné Czesznak Melinda</t>
  </si>
  <si>
    <t>Romhányi Nikoletta</t>
  </si>
  <si>
    <t>Zahoreczné Molnár Katalain</t>
  </si>
  <si>
    <t>Megyik Attila</t>
  </si>
  <si>
    <t>Jónás Jánosné</t>
  </si>
  <si>
    <t>Tanyagondnoki szolgálat</t>
  </si>
  <si>
    <t>Kozma Tibor</t>
  </si>
  <si>
    <t>Pásztor Mátyás</t>
  </si>
  <si>
    <t>Idősek nappli ellátása</t>
  </si>
  <si>
    <t>Schuszter Zoltánné</t>
  </si>
  <si>
    <t>Vrbovszkiné Prasz Mária</t>
  </si>
  <si>
    <t>90.</t>
  </si>
  <si>
    <t>91.</t>
  </si>
  <si>
    <t>92.</t>
  </si>
  <si>
    <t>93.</t>
  </si>
  <si>
    <t>Tanulók</t>
  </si>
  <si>
    <t>Szent László</t>
  </si>
  <si>
    <t>Kaposi Bettina</t>
  </si>
  <si>
    <t>Deákné Burai Anikó</t>
  </si>
  <si>
    <t>Papp Katalin</t>
  </si>
  <si>
    <t>Tyichi Szilárd</t>
  </si>
  <si>
    <t>JÚNIUS</t>
  </si>
  <si>
    <t>Gombár György</t>
  </si>
  <si>
    <t>Kelemen Márta</t>
  </si>
  <si>
    <t>Pápai Vivien</t>
  </si>
  <si>
    <t>Földszint(460)</t>
  </si>
  <si>
    <t>Emelet(460)</t>
  </si>
  <si>
    <t>Demens(460)</t>
  </si>
  <si>
    <t>Szenvedély(460)</t>
  </si>
  <si>
    <t>Konyha(460)</t>
  </si>
  <si>
    <t>Irodák(460)</t>
  </si>
  <si>
    <t>Takarítás(460)</t>
  </si>
  <si>
    <t>Mosoda(460)</t>
  </si>
  <si>
    <t>Sofőr, Karbantartó(460)</t>
  </si>
  <si>
    <t>Mentál(460)</t>
  </si>
  <si>
    <t>Földszint(380)</t>
  </si>
  <si>
    <t>Emelet(380)</t>
  </si>
  <si>
    <t>Demens(380)</t>
  </si>
  <si>
    <t>Szenvedély(380)</t>
  </si>
  <si>
    <t>Konyha(380)</t>
  </si>
  <si>
    <t>Irodák(380)</t>
  </si>
  <si>
    <t>Takarítás(380)</t>
  </si>
  <si>
    <t>Mosoda(380)</t>
  </si>
  <si>
    <t>Sofőr, Karbantartó(380)</t>
  </si>
  <si>
    <t>Szenv.közösségi ellát.(Tessedik)(460)</t>
  </si>
  <si>
    <t>Jelzőr.házi segítsny(460)</t>
  </si>
  <si>
    <t>Otthoni szakápolás(460)</t>
  </si>
  <si>
    <t>Szociális Étkeztetés(460)</t>
  </si>
  <si>
    <t>Fogyatékos személyek nappali ellátása(460)</t>
  </si>
  <si>
    <t>Demens betegek nappali ellátása(460)</t>
  </si>
  <si>
    <t>Támogató Szolgálat(460)</t>
  </si>
  <si>
    <t>Igazgatóság(460)</t>
  </si>
  <si>
    <t>Házi segítségnyújtás(Tessedik)(460)</t>
  </si>
  <si>
    <t>Idősek Nappali Ellátása(460)</t>
  </si>
  <si>
    <t>Szenvedélybetegek nappali ellátása(Tessedik)(460)</t>
  </si>
  <si>
    <t>Idősek otthona(460)</t>
  </si>
  <si>
    <t>Szenv.közösségi ellát.(380)</t>
  </si>
  <si>
    <t>Jelzőr.házi segítsny(380)</t>
  </si>
  <si>
    <t>Otthoni szakápolás(380)</t>
  </si>
  <si>
    <t>Szociális Étkeztetés(380)</t>
  </si>
  <si>
    <t>Fogyatékos személyek nappali ellátása(380)</t>
  </si>
  <si>
    <t>Demens betegek nappali ellátása(380)</t>
  </si>
  <si>
    <t>Támogató Szolgálat(380)</t>
  </si>
  <si>
    <t>Igazgatóság(380)</t>
  </si>
  <si>
    <t>Házi segítségnyújtás(Tessedik)(380)</t>
  </si>
  <si>
    <t>Idősek Nappali Ellátása(380)</t>
  </si>
  <si>
    <t>Szenvedélybetegek nappali ellátása(380)</t>
  </si>
  <si>
    <t>Idősek otthona(380)</t>
  </si>
  <si>
    <t>Mucha Mónika</t>
  </si>
  <si>
    <t>Tőkés Nikolett</t>
  </si>
  <si>
    <t>Gergye Brigitta</t>
  </si>
  <si>
    <t>Maczik Anna</t>
  </si>
  <si>
    <t>Xkód</t>
  </si>
  <si>
    <t>ukód</t>
  </si>
  <si>
    <t>xkód</t>
  </si>
  <si>
    <t>név</t>
  </si>
  <si>
    <t>Furugy</t>
  </si>
  <si>
    <t>X2000037</t>
  </si>
  <si>
    <t>U0000030301</t>
  </si>
  <si>
    <t>X2000014</t>
  </si>
  <si>
    <t>X2100001</t>
  </si>
  <si>
    <t>X2000004</t>
  </si>
  <si>
    <t>X2000010</t>
  </si>
  <si>
    <t>X2000025</t>
  </si>
  <si>
    <t>X2000012</t>
  </si>
  <si>
    <t>X8800101</t>
  </si>
  <si>
    <t>X2000005</t>
  </si>
  <si>
    <t>X2000026</t>
  </si>
  <si>
    <t>X2000020</t>
  </si>
  <si>
    <t>Szuhaj Gyöngyi</t>
  </si>
  <si>
    <t>U0000030331</t>
  </si>
  <si>
    <t>X2000029</t>
  </si>
  <si>
    <t>U0000030332</t>
  </si>
  <si>
    <t>X2000030</t>
  </si>
  <si>
    <t>X8800205</t>
  </si>
  <si>
    <t>Krátky Pál</t>
  </si>
  <si>
    <t>X2000032</t>
  </si>
  <si>
    <t>U0000030303</t>
  </si>
  <si>
    <t>X2000006</t>
  </si>
  <si>
    <t>X2000050</t>
  </si>
  <si>
    <t>U0000030305</t>
  </si>
  <si>
    <t>U0000030321</t>
  </si>
  <si>
    <t>U0000030302</t>
  </si>
  <si>
    <t>Szemes Józsefné</t>
  </si>
  <si>
    <t>U000030304</t>
  </si>
  <si>
    <t>Ukód</t>
  </si>
  <si>
    <t>Darabszám</t>
  </si>
  <si>
    <t>U0000030304</t>
  </si>
  <si>
    <t>Összesen:</t>
  </si>
  <si>
    <t>Táblákból összesen:</t>
  </si>
  <si>
    <t>Különbség:</t>
  </si>
  <si>
    <t>Megnevezés</t>
  </si>
  <si>
    <t>Szarvas-Idős-bentlakásos</t>
  </si>
  <si>
    <t>Szarvas-Szenv-bentlakásos</t>
  </si>
  <si>
    <t>Szarvas-hajl-bentlakásos</t>
  </si>
  <si>
    <t>Szarvas-konyha-bentlakásos</t>
  </si>
  <si>
    <t>Vajda-Étkeztetés</t>
  </si>
  <si>
    <t>Vajda-Házi segítségnyújtás</t>
  </si>
  <si>
    <t>Vajda-Fogyatékos-nappali</t>
  </si>
  <si>
    <t>Vajda-Támogató szolgálat</t>
  </si>
  <si>
    <t>Vajda-Jelzőrendszer házi.seg</t>
  </si>
  <si>
    <t>Vajda-Idős-bentlakásos</t>
  </si>
  <si>
    <t>Vajda-Demens-nappali</t>
  </si>
  <si>
    <t>Vajda-Szenv.-nappali</t>
  </si>
  <si>
    <t>Vajda-Közösségi el. Szenv.</t>
  </si>
  <si>
    <t>Vajda-Otthoni Szakápolás</t>
  </si>
  <si>
    <t>Vajda-Igazgatóság</t>
  </si>
  <si>
    <t>Vajda-Idős korúak el.-nappali</t>
  </si>
  <si>
    <t>Örménykút-Házi segítség</t>
  </si>
  <si>
    <t>Örménykút-Időskorúak el. -nappali</t>
  </si>
  <si>
    <t>Középhalom-Időskorúak el. -nappali</t>
  </si>
  <si>
    <t>Középhalom-Tanya Gondnok</t>
  </si>
  <si>
    <t>Furugy-Időskorúak el. -nappali</t>
  </si>
  <si>
    <t>Szent László-Támogatott lakhatás szenv.</t>
  </si>
  <si>
    <t>Csabacsűd-Idős-bentlakásos</t>
  </si>
  <si>
    <t xml:space="preserve">Készítette: </t>
  </si>
  <si>
    <t>Barabás György</t>
  </si>
  <si>
    <t>Bakró Csilla</t>
  </si>
  <si>
    <t>Szopka Anikó</t>
  </si>
  <si>
    <t>Aradi Orsolya</t>
  </si>
  <si>
    <t>Csikós Zsanett</t>
  </si>
  <si>
    <t>U0000030311</t>
  </si>
  <si>
    <t>Győri Veronika</t>
  </si>
  <si>
    <t>Demcsákné Rafaj Veronika</t>
  </si>
  <si>
    <t>Cseri Ildikó</t>
  </si>
  <si>
    <t>ifj. Sárkány János</t>
  </si>
  <si>
    <t>Urbancsokné Szilágyi Tünde</t>
  </si>
  <si>
    <t>Magyar Magdolna</t>
  </si>
  <si>
    <t>Laluska lászlóné</t>
  </si>
  <si>
    <t>Medvegy Anna</t>
  </si>
  <si>
    <t>Pótár-Bóta Tünde</t>
  </si>
  <si>
    <t>Bencsik Erika</t>
  </si>
  <si>
    <t>Kozák Krisztián</t>
  </si>
  <si>
    <t>Dudásné Paróczai Anita</t>
  </si>
  <si>
    <t>2019. dolgozói étkezés adag száma</t>
  </si>
  <si>
    <t>Ujhelyi Jánosné</t>
  </si>
  <si>
    <t>Ujhelyi Beáta</t>
  </si>
  <si>
    <t>Hadadiné Faragó Erika</t>
  </si>
  <si>
    <t>Hatvani Károly Józsefné</t>
  </si>
  <si>
    <t xml:space="preserve"> </t>
  </si>
  <si>
    <t>Szakácsoknak összesen:</t>
  </si>
  <si>
    <t>Lestyan Mihály</t>
  </si>
  <si>
    <t>Himmer Péter</t>
  </si>
  <si>
    <t>Mentál(380)</t>
  </si>
  <si>
    <t>Körmendi János</t>
  </si>
  <si>
    <t>Lestyán Goda Jánosné</t>
  </si>
  <si>
    <t>Szűcs Erika</t>
  </si>
  <si>
    <t>Borgulya Szilvia</t>
  </si>
  <si>
    <t>Nyékiné Laurik Edina</t>
  </si>
  <si>
    <t>Csecskediné H. Ágnes</t>
  </si>
  <si>
    <t>99.</t>
  </si>
  <si>
    <t>Nagy Éva Erzsébet</t>
  </si>
  <si>
    <t>Lakatos Melinda</t>
  </si>
  <si>
    <t>Skorka Kitti</t>
  </si>
  <si>
    <t>SZEPTEMBER</t>
  </si>
  <si>
    <t>Kelt:Szarvas,2019 október 1.</t>
  </si>
  <si>
    <t>Kelt:Szarvas,2019 október 01.</t>
  </si>
  <si>
    <t>Nagy Ferenc</t>
  </si>
  <si>
    <t>Berkes Sándor</t>
  </si>
  <si>
    <t>Rácz-Czigléczki Éva</t>
  </si>
  <si>
    <t>Szakál Mihályné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</si>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</sst>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name val="Arial"/>
      <family val="2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  <charset val="238"/>
    </font>
    <font>
      <b/>
      <sz val="14"/>
      <color theme="1"/>
      <name val="Calibri"/>
      <family val="2"/>
      <charset val="238"/>
      <scheme val="minor"/>
    </font>
    <font>
      <sz val="14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ashed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3">
    <xf numFmtId="0" fontId="0" fillId="0" borderId="0" xfId="0"/>
    <xf numFmtId="0" fontId="2" fillId="3" borderId="7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2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3" borderId="8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15" xfId="0" applyFont="1" applyFill="1" applyBorder="1" applyAlignment="1" applyProtection="1">
      <alignment horizontal="center" vertical="center"/>
      <protection locked="0"/>
    </xf>
    <xf numFmtId="0" fontId="2" fillId="2" borderId="29" xfId="0" applyFont="1" applyFill="1" applyBorder="1" applyAlignment="1" applyProtection="1">
      <alignment horizontal="center" vertical="center"/>
      <protection locked="0"/>
    </xf>
    <xf numFmtId="0" fontId="2" fillId="2" borderId="20" xfId="0" applyFont="1" applyFill="1" applyBorder="1" applyAlignment="1" applyProtection="1">
      <alignment horizontal="center" vertical="center"/>
      <protection locked="0"/>
    </xf>
    <xf numFmtId="0" fontId="2" fillId="2" borderId="24" xfId="0" applyFont="1" applyFill="1" applyBorder="1" applyAlignment="1" applyProtection="1">
      <alignment horizontal="center" vertical="center"/>
      <protection locked="0"/>
    </xf>
    <xf numFmtId="0" fontId="2" fillId="3" borderId="29" xfId="0" applyFont="1" applyFill="1" applyBorder="1" applyAlignment="1" applyProtection="1">
      <alignment horizontal="center" vertical="center"/>
      <protection locked="0"/>
    </xf>
    <xf numFmtId="0" fontId="2" fillId="3" borderId="20" xfId="0" applyFont="1" applyFill="1" applyBorder="1" applyAlignment="1" applyProtection="1">
      <alignment horizontal="center" vertical="center"/>
      <protection locked="0"/>
    </xf>
    <xf numFmtId="0" fontId="2" fillId="3" borderId="24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23" xfId="0" applyFont="1" applyFill="1" applyBorder="1" applyAlignment="1" applyProtection="1">
      <alignment horizontal="center" vertical="center"/>
      <protection locked="0"/>
    </xf>
    <xf numFmtId="0" fontId="2" fillId="3" borderId="18" xfId="0" applyFont="1" applyFill="1" applyBorder="1" applyAlignment="1" applyProtection="1">
      <alignment horizontal="center" vertical="center"/>
      <protection locked="0"/>
    </xf>
    <xf numFmtId="0" fontId="2" fillId="3" borderId="17" xfId="0" applyFont="1" applyFill="1" applyBorder="1" applyAlignment="1" applyProtection="1">
      <alignment horizontal="center" vertical="center"/>
      <protection locked="0"/>
    </xf>
    <xf numFmtId="0" fontId="2" fillId="3" borderId="22" xfId="0" applyFont="1" applyFill="1" applyBorder="1" applyAlignment="1" applyProtection="1">
      <alignment horizontal="center" vertical="center"/>
      <protection locked="0"/>
    </xf>
    <xf numFmtId="3" fontId="5" fillId="0" borderId="1" xfId="0" applyNumberFormat="1" applyFont="1" applyBorder="1" applyAlignment="1" applyProtection="1">
      <alignment horizontal="center" vertical="center" wrapText="1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</xf>
    <xf numFmtId="49" fontId="2" fillId="3" borderId="11" xfId="0" applyNumberFormat="1" applyFont="1" applyFill="1" applyBorder="1" applyAlignment="1" applyProtection="1">
      <alignment horizontal="center" vertical="center"/>
    </xf>
    <xf numFmtId="0" fontId="2" fillId="3" borderId="11" xfId="0" applyFont="1" applyFill="1" applyBorder="1" applyAlignment="1" applyProtection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" fillId="3" borderId="31" xfId="0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</xf>
    <xf numFmtId="0" fontId="2" fillId="3" borderId="9" xfId="0" applyFont="1" applyFill="1" applyBorder="1" applyAlignment="1" applyProtection="1">
      <alignment horizontal="center" vertical="center"/>
    </xf>
    <xf numFmtId="0" fontId="2" fillId="2" borderId="21" xfId="0" applyFont="1" applyFill="1" applyBorder="1" applyAlignment="1" applyProtection="1">
      <alignment horizontal="center" vertical="center"/>
    </xf>
    <xf numFmtId="0" fontId="2" fillId="3" borderId="21" xfId="0" applyFont="1" applyFill="1" applyBorder="1" applyAlignment="1" applyProtection="1">
      <alignment horizontal="center" vertical="center"/>
    </xf>
    <xf numFmtId="0" fontId="2" fillId="3" borderId="10" xfId="0" applyFont="1" applyFill="1" applyBorder="1" applyAlignment="1" applyProtection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Border="1" applyAlignment="1" applyProtection="1">
      <alignment horizontal="center"/>
    </xf>
    <xf numFmtId="0" fontId="2" fillId="0" borderId="12" xfId="0" applyNumberFormat="1" applyFont="1" applyBorder="1" applyAlignment="1" applyProtection="1">
      <alignment horizontal="center"/>
    </xf>
    <xf numFmtId="0" fontId="2" fillId="0" borderId="13" xfId="0" applyNumberFormat="1" applyFont="1" applyBorder="1" applyAlignment="1" applyProtection="1">
      <alignment horizontal="center"/>
    </xf>
    <xf numFmtId="0" fontId="2" fillId="0" borderId="14" xfId="0" applyNumberFormat="1" applyFont="1" applyFill="1" applyBorder="1" applyAlignment="1" applyProtection="1">
      <alignment horizontal="center"/>
    </xf>
    <xf numFmtId="0" fontId="2" fillId="0" borderId="2" xfId="0" applyNumberFormat="1" applyFont="1" applyBorder="1" applyProtection="1"/>
    <xf numFmtId="0" fontId="0" fillId="0" borderId="0" xfId="0" applyNumberFormat="1" applyProtection="1"/>
    <xf numFmtId="0" fontId="0" fillId="0" borderId="0" xfId="0" applyProtection="1"/>
    <xf numFmtId="0" fontId="2" fillId="3" borderId="28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3" borderId="2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/>
    </xf>
    <xf numFmtId="0" fontId="0" fillId="0" borderId="2" xfId="0" applyBorder="1" applyProtection="1"/>
    <xf numFmtId="0" fontId="2" fillId="2" borderId="28" xfId="0" applyFont="1" applyFill="1" applyBorder="1" applyAlignment="1" applyProtection="1">
      <alignment horizontal="center"/>
    </xf>
    <xf numFmtId="0" fontId="0" fillId="2" borderId="0" xfId="0" applyFill="1" applyProtection="1"/>
    <xf numFmtId="3" fontId="5" fillId="0" borderId="15" xfId="0" applyNumberFormat="1" applyFont="1" applyBorder="1" applyAlignment="1" applyProtection="1">
      <alignment horizontal="center" vertical="center" wrapText="1"/>
    </xf>
    <xf numFmtId="3" fontId="5" fillId="0" borderId="1" xfId="0" applyNumberFormat="1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vertical="center"/>
    </xf>
    <xf numFmtId="3" fontId="6" fillId="0" borderId="1" xfId="0" applyNumberFormat="1" applyFont="1" applyBorder="1" applyAlignment="1" applyProtection="1">
      <alignment horizontal="center" vertical="center" wrapText="1"/>
    </xf>
    <xf numFmtId="2" fontId="6" fillId="0" borderId="1" xfId="0" applyNumberFormat="1" applyFont="1" applyBorder="1" applyAlignment="1" applyProtection="1">
      <alignment horizontal="right" vertical="center" wrapText="1"/>
    </xf>
    <xf numFmtId="0" fontId="0" fillId="0" borderId="0" xfId="0" applyBorder="1" applyProtection="1"/>
    <xf numFmtId="2" fontId="0" fillId="0" borderId="0" xfId="0" applyNumberFormat="1" applyAlignment="1" applyProtection="1">
      <alignment wrapText="1"/>
    </xf>
    <xf numFmtId="3" fontId="0" fillId="0" borderId="0" xfId="0" applyNumberFormat="1" applyAlignment="1" applyProtection="1">
      <alignment wrapText="1"/>
    </xf>
    <xf numFmtId="0" fontId="0" fillId="0" borderId="0" xfId="0" applyNumberFormat="1" applyAlignment="1" applyProtection="1">
      <alignment wrapText="1"/>
    </xf>
    <xf numFmtId="49" fontId="2" fillId="2" borderId="9" xfId="0" applyNumberFormat="1" applyFont="1" applyFill="1" applyBorder="1" applyAlignment="1" applyProtection="1">
      <alignment horizontal="center" vertical="center"/>
    </xf>
    <xf numFmtId="49" fontId="2" fillId="2" borderId="21" xfId="0" applyNumberFormat="1" applyFont="1" applyFill="1" applyBorder="1" applyAlignment="1" applyProtection="1">
      <alignment horizontal="center" vertical="center"/>
    </xf>
    <xf numFmtId="49" fontId="2" fillId="2" borderId="10" xfId="0" applyNumberFormat="1" applyFont="1" applyFill="1" applyBorder="1" applyAlignment="1" applyProtection="1">
      <alignment horizontal="center" vertical="center"/>
    </xf>
    <xf numFmtId="0" fontId="2" fillId="3" borderId="9" xfId="0" applyFont="1" applyFill="1" applyBorder="1" applyAlignment="1" applyProtection="1">
      <alignment horizontal="center" vertical="center"/>
      <protection locked="0"/>
    </xf>
    <xf numFmtId="0" fontId="2" fillId="3" borderId="32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38" xfId="0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3" fontId="5" fillId="0" borderId="15" xfId="0" applyNumberFormat="1" applyFont="1" applyBorder="1" applyAlignment="1" applyProtection="1">
      <alignment horizontal="center" vertical="center" wrapText="1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3" fontId="5" fillId="0" borderId="19" xfId="0" applyNumberFormat="1" applyFont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/>
    </xf>
    <xf numFmtId="0" fontId="7" fillId="3" borderId="2" xfId="0" applyFont="1" applyFill="1" applyBorder="1" applyAlignment="1" applyProtection="1">
      <alignment horizontal="center"/>
    </xf>
    <xf numFmtId="0" fontId="0" fillId="3" borderId="2" xfId="0" applyFill="1" applyBorder="1" applyProtection="1"/>
    <xf numFmtId="0" fontId="2" fillId="3" borderId="39" xfId="0" applyFont="1" applyFill="1" applyBorder="1" applyAlignment="1" applyProtection="1">
      <alignment horizontal="center" vertical="center"/>
      <protection locked="0"/>
    </xf>
    <xf numFmtId="0" fontId="2" fillId="2" borderId="39" xfId="0" applyFont="1" applyFill="1" applyBorder="1" applyAlignment="1" applyProtection="1">
      <alignment horizontal="center" vertical="center"/>
    </xf>
    <xf numFmtId="0" fontId="0" fillId="0" borderId="0" xfId="0"/>
    <xf numFmtId="0" fontId="0" fillId="0" borderId="0" xfId="0"/>
    <xf numFmtId="0" fontId="0" fillId="0" borderId="0" xfId="0" applyNumberFormat="1"/>
    <xf numFmtId="0" fontId="2" fillId="2" borderId="13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0" fontId="2" fillId="0" borderId="1" xfId="0" applyFont="1" applyBorder="1" applyAlignment="1">
      <alignment horizontal="center" vertical="center"/>
    </xf>
    <xf numFmtId="3" fontId="2" fillId="0" borderId="42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3" fontId="2" fillId="0" borderId="44" xfId="0" applyNumberFormat="1" applyFont="1" applyBorder="1" applyAlignment="1">
      <alignment horizontal="center" vertical="center"/>
    </xf>
    <xf numFmtId="0" fontId="9" fillId="0" borderId="1" xfId="0" applyFont="1" applyBorder="1" applyAlignment="1" applyProtection="1">
      <alignment vertical="center"/>
    </xf>
    <xf numFmtId="3" fontId="10" fillId="0" borderId="1" xfId="0" applyNumberFormat="1" applyFont="1" applyBorder="1" applyAlignment="1" applyProtection="1">
      <alignment horizontal="center" vertical="center" wrapText="1"/>
    </xf>
    <xf numFmtId="2" fontId="10" fillId="0" borderId="1" xfId="0" applyNumberFormat="1" applyFont="1" applyBorder="1" applyAlignment="1" applyProtection="1">
      <alignment horizontal="right" vertical="center" wrapText="1"/>
    </xf>
    <xf numFmtId="0" fontId="9" fillId="0" borderId="0" xfId="0" applyFont="1" applyProtection="1"/>
    <xf numFmtId="0" fontId="10" fillId="0" borderId="1" xfId="0" applyFont="1" applyBorder="1" applyAlignment="1" applyProtection="1">
      <alignment horizontal="right" vertical="center"/>
    </xf>
    <xf numFmtId="3" fontId="10" fillId="4" borderId="1" xfId="0" applyNumberFormat="1" applyFont="1" applyFill="1" applyBorder="1" applyAlignment="1" applyProtection="1">
      <alignment horizontal="left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3" fontId="10" fillId="4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Border="1" applyAlignment="1" applyProtection="1">
      <alignment horizontal="center" vertical="center" wrapText="1"/>
    </xf>
    <xf numFmtId="1" fontId="4" fillId="4" borderId="1" xfId="0" applyNumberFormat="1" applyFont="1" applyFill="1" applyBorder="1" applyAlignment="1" applyProtection="1">
      <alignment horizontal="center" wrapText="1"/>
    </xf>
    <xf numFmtId="3" fontId="4" fillId="0" borderId="1" xfId="0" applyNumberFormat="1" applyFont="1" applyBorder="1" applyAlignment="1" applyProtection="1">
      <alignment horizontal="center" wrapText="1"/>
    </xf>
    <xf numFmtId="0" fontId="9" fillId="0" borderId="24" xfId="0" applyFont="1" applyBorder="1" applyProtection="1"/>
    <xf numFmtId="0" fontId="4" fillId="0" borderId="2" xfId="0" applyFont="1" applyBorder="1" applyAlignment="1" applyProtection="1">
      <alignment horizontal="left"/>
    </xf>
    <xf numFmtId="3" fontId="10" fillId="5" borderId="2" xfId="0" applyNumberFormat="1" applyFont="1" applyFill="1" applyBorder="1" applyAlignment="1" applyProtection="1">
      <alignment wrapText="1"/>
    </xf>
    <xf numFmtId="1" fontId="4" fillId="4" borderId="2" xfId="0" applyNumberFormat="1" applyFont="1" applyFill="1" applyBorder="1" applyAlignment="1" applyProtection="1">
      <alignment horizontal="center" wrapText="1"/>
    </xf>
    <xf numFmtId="3" fontId="4" fillId="0" borderId="2" xfId="0" applyNumberFormat="1" applyFont="1" applyBorder="1" applyAlignment="1" applyProtection="1">
      <alignment horizontal="center" wrapText="1"/>
    </xf>
    <xf numFmtId="3" fontId="4" fillId="4" borderId="2" xfId="0" applyNumberFormat="1" applyFont="1" applyFill="1" applyBorder="1" applyAlignment="1" applyProtection="1">
      <alignment horizontal="center" wrapText="1"/>
    </xf>
    <xf numFmtId="0" fontId="10" fillId="0" borderId="1" xfId="0" applyFont="1" applyBorder="1" applyAlignment="1" applyProtection="1">
      <alignment horizontal="center" vertical="center"/>
    </xf>
    <xf numFmtId="1" fontId="4" fillId="4" borderId="1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/>
    </xf>
    <xf numFmtId="3" fontId="10" fillId="4" borderId="20" xfId="0" applyNumberFormat="1" applyFont="1" applyFill="1" applyBorder="1" applyAlignment="1" applyProtection="1">
      <alignment horizontal="center" vertical="center" wrapText="1"/>
    </xf>
    <xf numFmtId="3" fontId="4" fillId="2" borderId="20" xfId="0" applyNumberFormat="1" applyFont="1" applyFill="1" applyBorder="1" applyAlignment="1" applyProtection="1">
      <alignment horizontal="center" vertical="center" wrapText="1"/>
    </xf>
    <xf numFmtId="3" fontId="4" fillId="0" borderId="20" xfId="0" applyNumberFormat="1" applyFont="1" applyBorder="1" applyAlignment="1" applyProtection="1">
      <alignment horizontal="center" vertical="center" wrapText="1"/>
    </xf>
    <xf numFmtId="0" fontId="9" fillId="0" borderId="24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3" fontId="10" fillId="5" borderId="2" xfId="0" applyNumberFormat="1" applyFont="1" applyFill="1" applyBorder="1" applyAlignment="1" applyProtection="1">
      <alignment horizontal="center" vertical="center" wrapText="1"/>
    </xf>
    <xf numFmtId="3" fontId="10" fillId="4" borderId="2" xfId="0" applyNumberFormat="1" applyFont="1" applyFill="1" applyBorder="1" applyAlignment="1" applyProtection="1">
      <alignment horizontal="center" vertical="center" wrapText="1"/>
    </xf>
    <xf numFmtId="1" fontId="4" fillId="4" borderId="2" xfId="0" applyNumberFormat="1" applyFont="1" applyFill="1" applyBorder="1" applyAlignment="1" applyProtection="1">
      <alignment horizontal="center" vertical="center" wrapText="1"/>
    </xf>
    <xf numFmtId="3" fontId="4" fillId="0" borderId="2" xfId="0" applyNumberFormat="1" applyFont="1" applyBorder="1" applyAlignment="1" applyProtection="1">
      <alignment horizontal="center" vertical="center" wrapText="1"/>
    </xf>
    <xf numFmtId="3" fontId="4" fillId="4" borderId="2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2" fontId="10" fillId="0" borderId="1" xfId="0" applyNumberFormat="1" applyFont="1" applyBorder="1" applyAlignment="1" applyProtection="1">
      <alignment horizontal="center" vertical="center" wrapText="1"/>
    </xf>
    <xf numFmtId="0" fontId="2" fillId="7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9" fillId="0" borderId="40" xfId="0" applyFont="1" applyBorder="1"/>
    <xf numFmtId="0" fontId="2" fillId="0" borderId="45" xfId="0" applyFont="1" applyBorder="1" applyAlignment="1">
      <alignment horizontal="center" vertical="center"/>
    </xf>
    <xf numFmtId="0" fontId="9" fillId="0" borderId="41" xfId="0" applyFont="1" applyBorder="1"/>
    <xf numFmtId="0" fontId="9" fillId="0" borderId="43" xfId="0" applyFont="1" applyBorder="1"/>
    <xf numFmtId="0" fontId="2" fillId="0" borderId="39" xfId="0" applyFont="1" applyBorder="1" applyAlignment="1">
      <alignment horizontal="left" vertical="center"/>
    </xf>
    <xf numFmtId="0" fontId="2" fillId="0" borderId="39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9" fillId="0" borderId="46" xfId="0" applyFont="1" applyBorder="1" applyAlignment="1">
      <alignment horizontal="center"/>
    </xf>
    <xf numFmtId="0" fontId="2" fillId="2" borderId="30" xfId="0" applyFont="1" applyFill="1" applyBorder="1" applyAlignment="1" applyProtection="1">
      <alignment horizontal="center" vertical="center"/>
    </xf>
    <xf numFmtId="0" fontId="2" fillId="2" borderId="31" xfId="0" applyFont="1" applyFill="1" applyBorder="1" applyAlignment="1" applyProtection="1">
      <alignment horizontal="center" vertical="center"/>
    </xf>
    <xf numFmtId="0" fontId="10" fillId="0" borderId="24" xfId="0" applyFont="1" applyBorder="1" applyAlignment="1" applyProtection="1">
      <alignment horizontal="center" vertical="center"/>
    </xf>
    <xf numFmtId="0" fontId="0" fillId="3" borderId="0" xfId="0" applyFill="1" applyProtection="1"/>
    <xf numFmtId="0" fontId="2" fillId="3" borderId="21" xfId="0" applyFont="1" applyFill="1" applyBorder="1" applyAlignment="1" applyProtection="1">
      <alignment horizontal="center" vertical="center"/>
      <protection locked="0"/>
    </xf>
    <xf numFmtId="0" fontId="2" fillId="3" borderId="11" xfId="0" applyFont="1" applyFill="1" applyBorder="1" applyAlignment="1" applyProtection="1">
      <alignment horizontal="center" vertical="center"/>
      <protection locked="0"/>
    </xf>
    <xf numFmtId="0" fontId="2" fillId="3" borderId="31" xfId="0" applyFont="1" applyFill="1" applyBorder="1" applyAlignment="1" applyProtection="1">
      <alignment horizontal="center" vertical="center"/>
      <protection locked="0"/>
    </xf>
    <xf numFmtId="0" fontId="2" fillId="2" borderId="18" xfId="0" applyFont="1" applyFill="1" applyBorder="1" applyAlignment="1" applyProtection="1">
      <alignment horizontal="center" vertical="center"/>
      <protection locked="0"/>
    </xf>
    <xf numFmtId="0" fontId="2" fillId="2" borderId="22" xfId="0" applyFont="1" applyFill="1" applyBorder="1" applyAlignment="1" applyProtection="1">
      <alignment horizontal="center" vertical="center"/>
      <protection locked="0"/>
    </xf>
    <xf numFmtId="3" fontId="0" fillId="0" borderId="0" xfId="0" applyNumberFormat="1"/>
    <xf numFmtId="0" fontId="2" fillId="2" borderId="35" xfId="0" applyFont="1" applyFill="1" applyBorder="1" applyAlignment="1" applyProtection="1">
      <alignment horizontal="center" vertical="center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0" fillId="9" borderId="0" xfId="0" applyFill="1" applyProtection="1"/>
    <xf numFmtId="0" fontId="2" fillId="2" borderId="10" xfId="0" applyFont="1" applyFill="1" applyBorder="1" applyAlignment="1" applyProtection="1">
      <alignment horizontal="center" vertical="center"/>
    </xf>
    <xf numFmtId="3" fontId="9" fillId="0" borderId="0" xfId="0" applyNumberFormat="1" applyFont="1" applyAlignment="1" applyProtection="1">
      <alignment horizontal="center" vertical="center"/>
    </xf>
    <xf numFmtId="3" fontId="10" fillId="4" borderId="17" xfId="0" applyNumberFormat="1" applyFont="1" applyFill="1" applyBorder="1" applyAlignment="1" applyProtection="1">
      <alignment horizontal="center" vertical="center" wrapText="1"/>
    </xf>
    <xf numFmtId="0" fontId="2" fillId="8" borderId="0" xfId="0" applyFont="1" applyFill="1" applyBorder="1" applyAlignment="1" applyProtection="1">
      <alignment horizontal="center" vertical="center"/>
    </xf>
    <xf numFmtId="1" fontId="4" fillId="4" borderId="20" xfId="0" applyNumberFormat="1" applyFont="1" applyFill="1" applyBorder="1" applyAlignment="1" applyProtection="1">
      <alignment horizontal="center" vertical="center" wrapText="1"/>
    </xf>
    <xf numFmtId="0" fontId="9" fillId="0" borderId="36" xfId="0" applyFont="1" applyBorder="1" applyAlignment="1" applyProtection="1">
      <alignment horizontal="center" vertical="center"/>
    </xf>
    <xf numFmtId="0" fontId="4" fillId="0" borderId="28" xfId="0" applyFont="1" applyBorder="1" applyAlignment="1" applyProtection="1">
      <alignment horizontal="center" vertical="center"/>
    </xf>
    <xf numFmtId="3" fontId="10" fillId="5" borderId="28" xfId="0" applyNumberFormat="1" applyFont="1" applyFill="1" applyBorder="1" applyAlignment="1" applyProtection="1">
      <alignment horizontal="center" vertical="center" wrapText="1"/>
    </xf>
    <xf numFmtId="3" fontId="4" fillId="4" borderId="28" xfId="0" applyNumberFormat="1" applyFont="1" applyFill="1" applyBorder="1" applyAlignment="1" applyProtection="1">
      <alignment horizontal="center" vertical="center" wrapText="1"/>
    </xf>
    <xf numFmtId="1" fontId="4" fillId="4" borderId="28" xfId="0" applyNumberFormat="1" applyFont="1" applyFill="1" applyBorder="1" applyAlignment="1" applyProtection="1">
      <alignment horizontal="center" vertical="center" wrapText="1"/>
    </xf>
    <xf numFmtId="3" fontId="4" fillId="0" borderId="28" xfId="0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/>
    </xf>
    <xf numFmtId="0" fontId="2" fillId="10" borderId="3" xfId="0" applyFont="1" applyFill="1" applyBorder="1" applyAlignment="1" applyProtection="1">
      <alignment horizontal="center" vertical="center"/>
      <protection locked="0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2" fillId="10" borderId="20" xfId="0" applyFont="1" applyFill="1" applyBorder="1" applyAlignment="1" applyProtection="1">
      <alignment horizontal="center" vertical="center"/>
      <protection locked="0"/>
    </xf>
    <xf numFmtId="0" fontId="2" fillId="10" borderId="39" xfId="0" applyFont="1" applyFill="1" applyBorder="1" applyAlignment="1" applyProtection="1">
      <alignment horizontal="center" vertical="center"/>
    </xf>
    <xf numFmtId="0" fontId="2" fillId="10" borderId="12" xfId="0" applyFont="1" applyFill="1" applyBorder="1" applyAlignment="1" applyProtection="1">
      <alignment horizontal="center" vertical="center"/>
    </xf>
    <xf numFmtId="0" fontId="2" fillId="10" borderId="18" xfId="0" applyFont="1" applyFill="1" applyBorder="1" applyAlignment="1" applyProtection="1">
      <alignment horizontal="center" vertical="center"/>
      <protection locked="0"/>
    </xf>
    <xf numFmtId="0" fontId="7" fillId="10" borderId="2" xfId="0" applyFont="1" applyFill="1" applyBorder="1" applyAlignment="1" applyProtection="1">
      <alignment horizontal="center"/>
    </xf>
    <xf numFmtId="0" fontId="2" fillId="10" borderId="39" xfId="0" applyFont="1" applyFill="1" applyBorder="1" applyAlignment="1" applyProtection="1">
      <alignment horizontal="center" vertical="center"/>
      <protection locked="0"/>
    </xf>
    <xf numFmtId="0" fontId="2" fillId="2" borderId="36" xfId="0" applyFont="1" applyFill="1" applyBorder="1" applyAlignment="1" applyProtection="1">
      <alignment horizontal="center" vertical="center"/>
      <protection locked="0"/>
    </xf>
    <xf numFmtId="0" fontId="2" fillId="10" borderId="29" xfId="0" applyFont="1" applyFill="1" applyBorder="1" applyAlignment="1" applyProtection="1">
      <alignment horizontal="center" vertical="center"/>
      <protection locked="0"/>
    </xf>
    <xf numFmtId="0" fontId="2" fillId="2" borderId="49" xfId="0" applyFont="1" applyFill="1" applyBorder="1" applyAlignment="1" applyProtection="1">
      <alignment horizontal="center"/>
    </xf>
    <xf numFmtId="0" fontId="2" fillId="10" borderId="8" xfId="0" applyFont="1" applyFill="1" applyBorder="1" applyAlignment="1" applyProtection="1">
      <alignment horizontal="center" vertical="center"/>
      <protection locked="0"/>
    </xf>
    <xf numFmtId="0" fontId="12" fillId="2" borderId="2" xfId="0" applyFont="1" applyFill="1" applyBorder="1" applyAlignment="1" applyProtection="1">
      <alignment horizontal="center" vertical="center"/>
    </xf>
    <xf numFmtId="3" fontId="10" fillId="4" borderId="0" xfId="0" applyNumberFormat="1" applyFont="1" applyFill="1" applyBorder="1" applyAlignment="1" applyProtection="1">
      <alignment horizontal="center" vertical="center" wrapText="1"/>
    </xf>
    <xf numFmtId="3" fontId="10" fillId="4" borderId="37" xfId="0" applyNumberFormat="1" applyFont="1" applyFill="1" applyBorder="1" applyAlignment="1" applyProtection="1">
      <alignment horizontal="center" vertical="center" wrapText="1"/>
    </xf>
    <xf numFmtId="49" fontId="2" fillId="2" borderId="31" xfId="0" applyNumberFormat="1" applyFont="1" applyFill="1" applyBorder="1" applyAlignment="1" applyProtection="1">
      <alignment horizontal="center" vertical="center"/>
    </xf>
    <xf numFmtId="49" fontId="2" fillId="2" borderId="30" xfId="0" applyNumberFormat="1" applyFont="1" applyFill="1" applyBorder="1" applyAlignment="1" applyProtection="1">
      <alignment horizontal="center" vertical="center"/>
    </xf>
    <xf numFmtId="0" fontId="0" fillId="2" borderId="2" xfId="0" applyFill="1" applyBorder="1" applyAlignment="1" applyProtection="1">
      <alignment horizontal="center" vertical="center"/>
    </xf>
    <xf numFmtId="0" fontId="2" fillId="10" borderId="7" xfId="0" applyFont="1" applyFill="1" applyBorder="1" applyAlignment="1" applyProtection="1">
      <alignment horizontal="center" vertical="center"/>
      <protection locked="0"/>
    </xf>
    <xf numFmtId="0" fontId="0" fillId="2" borderId="2" xfId="0" applyFill="1" applyBorder="1" applyProtection="1"/>
    <xf numFmtId="3" fontId="10" fillId="4" borderId="15" xfId="0" applyNumberFormat="1" applyFont="1" applyFill="1" applyBorder="1" applyAlignment="1" applyProtection="1">
      <alignment horizontal="center" vertical="center" wrapText="1"/>
    </xf>
    <xf numFmtId="0" fontId="13" fillId="0" borderId="0" xfId="0" applyFont="1"/>
    <xf numFmtId="0" fontId="1" fillId="0" borderId="0" xfId="0" applyFont="1"/>
    <xf numFmtId="0" fontId="14" fillId="0" borderId="4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2" fillId="2" borderId="12" xfId="0" applyFont="1" applyFill="1" applyBorder="1" applyAlignment="1" applyProtection="1">
      <alignment horizontal="center" vertical="center"/>
    </xf>
    <xf numFmtId="0" fontId="9" fillId="0" borderId="0" xfId="0" applyFont="1"/>
    <xf numFmtId="0" fontId="14" fillId="2" borderId="3" xfId="0" applyFont="1" applyFill="1" applyBorder="1" applyAlignment="1">
      <alignment horizontal="center" vertical="center"/>
    </xf>
    <xf numFmtId="0" fontId="2" fillId="7" borderId="49" xfId="0" applyFont="1" applyFill="1" applyBorder="1" applyAlignment="1">
      <alignment horizontal="center" vertical="center"/>
    </xf>
    <xf numFmtId="0" fontId="2" fillId="12" borderId="12" xfId="0" applyFont="1" applyFill="1" applyBorder="1" applyAlignment="1" applyProtection="1">
      <alignment horizontal="center" vertical="center"/>
    </xf>
    <xf numFmtId="0" fontId="2" fillId="4" borderId="7" xfId="0" applyFont="1" applyFill="1" applyBorder="1" applyAlignment="1" applyProtection="1">
      <alignment horizontal="center" vertical="center"/>
      <protection locked="0"/>
    </xf>
    <xf numFmtId="0" fontId="2" fillId="4" borderId="8" xfId="0" applyFont="1" applyFill="1" applyBorder="1" applyAlignment="1" applyProtection="1">
      <alignment horizontal="center" vertical="center"/>
      <protection locked="0"/>
    </xf>
    <xf numFmtId="0" fontId="2" fillId="4" borderId="29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4" borderId="34" xfId="0" applyFont="1" applyFill="1" applyBorder="1" applyAlignment="1" applyProtection="1">
      <alignment horizontal="center" vertical="center"/>
      <protection locked="0"/>
    </xf>
    <xf numFmtId="0" fontId="2" fillId="4" borderId="41" xfId="0" applyFont="1" applyFill="1" applyBorder="1" applyAlignment="1" applyProtection="1">
      <alignment horizontal="center" vertical="center"/>
      <protection locked="0"/>
    </xf>
    <xf numFmtId="0" fontId="2" fillId="4" borderId="32" xfId="0" applyFont="1" applyFill="1" applyBorder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2" fillId="4" borderId="20" xfId="0" applyFont="1" applyFill="1" applyBorder="1" applyAlignment="1" applyProtection="1">
      <alignment horizontal="center" vertical="center"/>
      <protection locked="0"/>
    </xf>
    <xf numFmtId="0" fontId="2" fillId="4" borderId="18" xfId="0" applyFont="1" applyFill="1" applyBorder="1" applyAlignment="1" applyProtection="1">
      <alignment horizontal="center" vertical="center"/>
      <protection locked="0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2" fillId="8" borderId="1" xfId="0" applyFont="1" applyFill="1" applyBorder="1" applyAlignment="1" applyProtection="1">
      <alignment horizontal="center" vertical="center"/>
      <protection locked="0"/>
    </xf>
    <xf numFmtId="0" fontId="2" fillId="2" borderId="48" xfId="0" applyFont="1" applyFill="1" applyBorder="1" applyAlignment="1" applyProtection="1">
      <alignment horizontal="center" vertical="center"/>
    </xf>
    <xf numFmtId="0" fontId="2" fillId="8" borderId="39" xfId="0" applyFont="1" applyFill="1" applyBorder="1" applyAlignment="1" applyProtection="1">
      <alignment horizontal="center" vertical="center"/>
      <protection locked="0"/>
    </xf>
    <xf numFmtId="0" fontId="7" fillId="8" borderId="2" xfId="0" applyFont="1" applyFill="1" applyBorder="1" applyAlignment="1" applyProtection="1">
      <alignment horizontal="center"/>
    </xf>
    <xf numFmtId="0" fontId="2" fillId="4" borderId="35" xfId="0" applyFont="1" applyFill="1" applyBorder="1" applyAlignment="1" applyProtection="1">
      <alignment horizontal="center" vertical="center"/>
      <protection locked="0"/>
    </xf>
    <xf numFmtId="0" fontId="2" fillId="4" borderId="17" xfId="0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center"/>
    </xf>
    <xf numFmtId="3" fontId="10" fillId="4" borderId="8" xfId="0" applyNumberFormat="1" applyFont="1" applyFill="1" applyBorder="1" applyAlignment="1" applyProtection="1">
      <alignment horizontal="center" vertical="center" wrapText="1"/>
    </xf>
    <xf numFmtId="0" fontId="10" fillId="0" borderId="15" xfId="0" applyFont="1" applyBorder="1" applyAlignment="1" applyProtection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2" fillId="8" borderId="23" xfId="0" applyFont="1" applyFill="1" applyBorder="1" applyAlignment="1" applyProtection="1">
      <alignment horizontal="center" vertical="center"/>
      <protection locked="0"/>
    </xf>
    <xf numFmtId="0" fontId="2" fillId="8" borderId="8" xfId="0" applyFont="1" applyFill="1" applyBorder="1" applyAlignment="1" applyProtection="1">
      <alignment horizontal="center" vertical="center"/>
      <protection locked="0"/>
    </xf>
    <xf numFmtId="0" fontId="2" fillId="8" borderId="15" xfId="0" applyFont="1" applyFill="1" applyBorder="1" applyAlignment="1" applyProtection="1">
      <alignment horizontal="center" vertical="center"/>
      <protection locked="0"/>
    </xf>
    <xf numFmtId="0" fontId="2" fillId="8" borderId="20" xfId="0" applyFont="1" applyFill="1" applyBorder="1" applyAlignment="1" applyProtection="1">
      <alignment horizontal="center" vertical="center"/>
      <protection locked="0"/>
    </xf>
    <xf numFmtId="0" fontId="2" fillId="8" borderId="24" xfId="0" applyFont="1" applyFill="1" applyBorder="1" applyAlignment="1" applyProtection="1">
      <alignment horizontal="center" vertical="center"/>
      <protection locked="0"/>
    </xf>
    <xf numFmtId="0" fontId="2" fillId="8" borderId="34" xfId="0" applyFont="1" applyFill="1" applyBorder="1" applyAlignment="1" applyProtection="1">
      <alignment horizontal="center" vertical="center"/>
      <protection locked="0"/>
    </xf>
    <xf numFmtId="0" fontId="2" fillId="8" borderId="0" xfId="0" applyFont="1" applyFill="1" applyBorder="1" applyAlignment="1" applyProtection="1">
      <alignment horizontal="center" vertical="center"/>
      <protection locked="0"/>
    </xf>
    <xf numFmtId="0" fontId="2" fillId="8" borderId="50" xfId="0" applyFont="1" applyFill="1" applyBorder="1" applyAlignment="1" applyProtection="1">
      <alignment horizontal="center" vertical="center"/>
      <protection locked="0"/>
    </xf>
    <xf numFmtId="0" fontId="2" fillId="8" borderId="18" xfId="0" applyFont="1" applyFill="1" applyBorder="1" applyAlignment="1" applyProtection="1">
      <alignment horizontal="center" vertical="center"/>
      <protection locked="0"/>
    </xf>
    <xf numFmtId="0" fontId="2" fillId="8" borderId="47" xfId="0" applyFont="1" applyFill="1" applyBorder="1" applyAlignment="1" applyProtection="1">
      <alignment horizontal="center" vertical="center"/>
      <protection locked="0"/>
    </xf>
    <xf numFmtId="0" fontId="2" fillId="10" borderId="34" xfId="0" applyFont="1" applyFill="1" applyBorder="1" applyAlignment="1" applyProtection="1">
      <alignment horizontal="center" vertical="center"/>
      <protection locked="0"/>
    </xf>
    <xf numFmtId="0" fontId="2" fillId="10" borderId="41" xfId="0" applyFont="1" applyFill="1" applyBorder="1" applyAlignment="1" applyProtection="1">
      <alignment horizontal="center" vertical="center"/>
      <protection locked="0"/>
    </xf>
    <xf numFmtId="0" fontId="2" fillId="10" borderId="32" xfId="0" applyFont="1" applyFill="1" applyBorder="1" applyAlignment="1" applyProtection="1">
      <alignment horizontal="center" vertical="center"/>
      <protection locked="0"/>
    </xf>
    <xf numFmtId="0" fontId="2" fillId="12" borderId="3" xfId="0" applyFont="1" applyFill="1" applyBorder="1" applyAlignment="1" applyProtection="1">
      <alignment horizontal="center" vertical="center"/>
      <protection locked="0"/>
    </xf>
    <xf numFmtId="0" fontId="2" fillId="12" borderId="1" xfId="0" applyFont="1" applyFill="1" applyBorder="1" applyAlignment="1" applyProtection="1">
      <alignment horizontal="center" vertical="center"/>
      <protection locked="0"/>
    </xf>
    <xf numFmtId="0" fontId="2" fillId="12" borderId="20" xfId="0" applyFont="1" applyFill="1" applyBorder="1" applyAlignment="1" applyProtection="1">
      <alignment horizontal="center" vertical="center"/>
      <protection locked="0"/>
    </xf>
    <xf numFmtId="0" fontId="2" fillId="12" borderId="34" xfId="0" applyFont="1" applyFill="1" applyBorder="1" applyAlignment="1" applyProtection="1">
      <alignment horizontal="center" vertical="center"/>
      <protection locked="0"/>
    </xf>
    <xf numFmtId="0" fontId="2" fillId="12" borderId="8" xfId="0" applyFont="1" applyFill="1" applyBorder="1" applyAlignment="1" applyProtection="1">
      <alignment horizontal="center" vertical="center"/>
      <protection locked="0"/>
    </xf>
    <xf numFmtId="0" fontId="2" fillId="12" borderId="18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0" fillId="4" borderId="0" xfId="0" applyFill="1" applyProtection="1"/>
    <xf numFmtId="0" fontId="2" fillId="2" borderId="42" xfId="0" applyFont="1" applyFill="1" applyBorder="1" applyAlignment="1" applyProtection="1">
      <alignment horizontal="center" vertical="center"/>
      <protection locked="0"/>
    </xf>
    <xf numFmtId="0" fontId="12" fillId="4" borderId="3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2" fillId="4" borderId="20" xfId="0" applyFont="1" applyFill="1" applyBorder="1" applyAlignment="1" applyProtection="1">
      <alignment horizontal="center" vertical="center"/>
      <protection locked="0"/>
    </xf>
    <xf numFmtId="0" fontId="12" fillId="4" borderId="34" xfId="0" applyFont="1" applyFill="1" applyBorder="1" applyAlignment="1" applyProtection="1">
      <alignment horizontal="center" vertical="center"/>
      <protection locked="0"/>
    </xf>
    <xf numFmtId="0" fontId="12" fillId="4" borderId="18" xfId="0" applyFont="1" applyFill="1" applyBorder="1" applyAlignment="1" applyProtection="1">
      <alignment horizontal="center" vertical="center"/>
      <protection locked="0"/>
    </xf>
    <xf numFmtId="0" fontId="2" fillId="13" borderId="7" xfId="0" applyFont="1" applyFill="1" applyBorder="1" applyAlignment="1" applyProtection="1">
      <alignment horizontal="center" vertical="center"/>
      <protection locked="0"/>
    </xf>
    <xf numFmtId="0" fontId="2" fillId="13" borderId="34" xfId="0" applyFont="1" applyFill="1" applyBorder="1" applyAlignment="1" applyProtection="1">
      <alignment horizontal="center" vertical="center"/>
      <protection locked="0"/>
    </xf>
    <xf numFmtId="0" fontId="2" fillId="13" borderId="8" xfId="0" applyFont="1" applyFill="1" applyBorder="1" applyAlignment="1" applyProtection="1">
      <alignment horizontal="center" vertical="center"/>
      <protection locked="0"/>
    </xf>
    <xf numFmtId="0" fontId="2" fillId="13" borderId="32" xfId="0" applyFont="1" applyFill="1" applyBorder="1" applyAlignment="1" applyProtection="1">
      <alignment horizontal="center" vertical="center"/>
      <protection locked="0"/>
    </xf>
    <xf numFmtId="0" fontId="2" fillId="13" borderId="39" xfId="0" applyFont="1" applyFill="1" applyBorder="1" applyAlignment="1" applyProtection="1">
      <alignment horizontal="center" vertical="center"/>
      <protection locked="0"/>
    </xf>
    <xf numFmtId="0" fontId="2" fillId="13" borderId="3" xfId="0" applyFont="1" applyFill="1" applyBorder="1" applyAlignment="1" applyProtection="1">
      <alignment horizontal="center" vertical="center"/>
      <protection locked="0"/>
    </xf>
    <xf numFmtId="0" fontId="2" fillId="13" borderId="35" xfId="0" applyFont="1" applyFill="1" applyBorder="1" applyAlignment="1" applyProtection="1">
      <alignment horizontal="center" vertical="center"/>
      <protection locked="0"/>
    </xf>
    <xf numFmtId="0" fontId="2" fillId="13" borderId="1" xfId="0" applyFont="1" applyFill="1" applyBorder="1" applyAlignment="1" applyProtection="1">
      <alignment horizontal="center" vertical="center"/>
      <protection locked="0"/>
    </xf>
    <xf numFmtId="0" fontId="2" fillId="13" borderId="17" xfId="0" applyFont="1" applyFill="1" applyBorder="1" applyAlignment="1" applyProtection="1">
      <alignment horizontal="center" vertical="center"/>
      <protection locked="0"/>
    </xf>
    <xf numFmtId="0" fontId="10" fillId="0" borderId="36" xfId="0" applyFont="1" applyBorder="1" applyAlignment="1" applyProtection="1">
      <alignment horizontal="center" vertical="center"/>
    </xf>
    <xf numFmtId="3" fontId="11" fillId="0" borderId="14" xfId="0" applyNumberFormat="1" applyFont="1" applyBorder="1" applyAlignment="1">
      <alignment horizontal="center"/>
    </xf>
    <xf numFmtId="3" fontId="11" fillId="0" borderId="5" xfId="0" applyNumberFormat="1" applyFont="1" applyBorder="1" applyAlignment="1">
      <alignment horizontal="center"/>
    </xf>
    <xf numFmtId="3" fontId="11" fillId="0" borderId="6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3" fontId="11" fillId="0" borderId="14" xfId="0" applyNumberFormat="1" applyFont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3" fillId="3" borderId="4" xfId="0" applyFont="1" applyFill="1" applyBorder="1" applyAlignment="1" applyProtection="1">
      <alignment horizontal="center"/>
    </xf>
    <xf numFmtId="0" fontId="3" fillId="3" borderId="5" xfId="0" applyFont="1" applyFill="1" applyBorder="1" applyAlignment="1" applyProtection="1">
      <alignment horizontal="center"/>
    </xf>
    <xf numFmtId="0" fontId="3" fillId="3" borderId="6" xfId="0" applyFont="1" applyFill="1" applyBorder="1" applyAlignment="1" applyProtection="1">
      <alignment horizontal="center"/>
    </xf>
    <xf numFmtId="0" fontId="2" fillId="6" borderId="4" xfId="0" applyNumberFormat="1" applyFont="1" applyFill="1" applyBorder="1" applyAlignment="1" applyProtection="1">
      <alignment horizontal="center"/>
    </xf>
    <xf numFmtId="0" fontId="2" fillId="6" borderId="5" xfId="0" applyNumberFormat="1" applyFont="1" applyFill="1" applyBorder="1" applyAlignment="1" applyProtection="1">
      <alignment horizontal="center"/>
    </xf>
    <xf numFmtId="0" fontId="2" fillId="6" borderId="6" xfId="0" applyNumberFormat="1" applyFont="1" applyFill="1" applyBorder="1" applyAlignment="1" applyProtection="1">
      <alignment horizontal="center"/>
    </xf>
    <xf numFmtId="2" fontId="0" fillId="0" borderId="0" xfId="0" applyNumberFormat="1" applyAlignment="1" applyProtection="1">
      <alignment horizontal="center" wrapText="1"/>
      <protection locked="0"/>
    </xf>
    <xf numFmtId="3" fontId="0" fillId="0" borderId="0" xfId="0" applyNumberFormat="1" applyAlignment="1" applyProtection="1">
      <alignment horizontal="center" wrapText="1"/>
      <protection locked="0"/>
    </xf>
    <xf numFmtId="3" fontId="4" fillId="0" borderId="15" xfId="0" applyNumberFormat="1" applyFont="1" applyBorder="1" applyAlignment="1" applyProtection="1">
      <alignment horizontal="center" vertical="center" wrapText="1"/>
    </xf>
    <xf numFmtId="3" fontId="4" fillId="0" borderId="19" xfId="0" applyNumberFormat="1" applyFont="1" applyBorder="1" applyAlignment="1" applyProtection="1">
      <alignment horizontal="center" vertical="center" wrapText="1"/>
    </xf>
    <xf numFmtId="3" fontId="4" fillId="0" borderId="8" xfId="0" applyNumberFormat="1" applyFont="1" applyBorder="1" applyAlignment="1" applyProtection="1">
      <alignment horizontal="center" vertical="center" wrapText="1"/>
    </xf>
    <xf numFmtId="0" fontId="5" fillId="0" borderId="15" xfId="0" applyFont="1" applyBorder="1" applyAlignment="1" applyProtection="1">
      <alignment horizontal="center" vertical="center"/>
    </xf>
    <xf numFmtId="0" fontId="5" fillId="0" borderId="19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3" fontId="5" fillId="0" borderId="15" xfId="0" applyNumberFormat="1" applyFont="1" applyBorder="1" applyAlignment="1" applyProtection="1">
      <alignment horizontal="center" vertical="center" wrapText="1"/>
    </xf>
    <xf numFmtId="3" fontId="5" fillId="0" borderId="8" xfId="0" applyNumberFormat="1" applyFont="1" applyBorder="1" applyAlignment="1" applyProtection="1">
      <alignment horizontal="center" vertical="center" wrapText="1"/>
    </xf>
    <xf numFmtId="0" fontId="2" fillId="2" borderId="25" xfId="0" applyFont="1" applyFill="1" applyBorder="1" applyAlignment="1" applyProtection="1">
      <alignment horizontal="center" vertical="center"/>
    </xf>
    <xf numFmtId="0" fontId="2" fillId="2" borderId="37" xfId="0" applyFont="1" applyFill="1" applyBorder="1" applyAlignment="1" applyProtection="1">
      <alignment horizontal="center" vertical="center"/>
    </xf>
    <xf numFmtId="0" fontId="2" fillId="2" borderId="3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</xf>
    <xf numFmtId="0" fontId="2" fillId="2" borderId="16" xfId="0" applyFont="1" applyFill="1" applyBorder="1" applyAlignment="1" applyProtection="1">
      <alignment horizontal="center" vertical="center"/>
    </xf>
    <xf numFmtId="0" fontId="3" fillId="2" borderId="16" xfId="0" applyFont="1" applyFill="1" applyBorder="1" applyAlignment="1" applyProtection="1">
      <alignment horizontal="center"/>
    </xf>
    <xf numFmtId="0" fontId="3" fillId="2" borderId="5" xfId="0" applyFont="1" applyFill="1" applyBorder="1" applyAlignment="1" applyProtection="1">
      <alignment horizontal="center"/>
    </xf>
    <xf numFmtId="0" fontId="3" fillId="2" borderId="6" xfId="0" applyFont="1" applyFill="1" applyBorder="1" applyAlignment="1" applyProtection="1">
      <alignment horizontal="center"/>
    </xf>
    <xf numFmtId="0" fontId="2" fillId="2" borderId="4" xfId="0" applyNumberFormat="1" applyFont="1" applyFill="1" applyBorder="1" applyAlignment="1" applyProtection="1">
      <alignment horizontal="center"/>
    </xf>
    <xf numFmtId="0" fontId="2" fillId="2" borderId="5" xfId="0" applyNumberFormat="1" applyFont="1" applyFill="1" applyBorder="1" applyAlignment="1" applyProtection="1">
      <alignment horizontal="center"/>
    </xf>
    <xf numFmtId="0" fontId="2" fillId="2" borderId="6" xfId="0" applyNumberFormat="1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/>
    </xf>
    <xf numFmtId="0" fontId="2" fillId="11" borderId="4" xfId="0" applyNumberFormat="1" applyFont="1" applyFill="1" applyBorder="1" applyAlignment="1" applyProtection="1">
      <alignment horizontal="center"/>
    </xf>
    <xf numFmtId="0" fontId="2" fillId="11" borderId="5" xfId="0" applyNumberFormat="1" applyFont="1" applyFill="1" applyBorder="1" applyAlignment="1" applyProtection="1">
      <alignment horizontal="center"/>
    </xf>
    <xf numFmtId="0" fontId="2" fillId="11" borderId="6" xfId="0" applyNumberFormat="1" applyFont="1" applyFill="1" applyBorder="1" applyAlignment="1" applyProtection="1">
      <alignment horizontal="center"/>
    </xf>
    <xf numFmtId="0" fontId="2" fillId="2" borderId="25" xfId="0" applyNumberFormat="1" applyFont="1" applyFill="1" applyBorder="1" applyAlignment="1" applyProtection="1">
      <alignment horizontal="center"/>
    </xf>
    <xf numFmtId="0" fontId="2" fillId="2" borderId="37" xfId="0" applyNumberFormat="1" applyFont="1" applyFill="1" applyBorder="1" applyAlignment="1" applyProtection="1">
      <alignment horizontal="center"/>
    </xf>
    <xf numFmtId="0" fontId="2" fillId="2" borderId="33" xfId="0" applyNumberFormat="1" applyFont="1" applyFill="1" applyBorder="1" applyAlignment="1" applyProtection="1">
      <alignment horizont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A3" sqref="A3"/>
    </sheetView>
  </sheetViews>
  <sheetFormatPr defaultRowHeight="15" x14ac:dyDescent="0.25"/>
  <cols>
    <col min="1" max="1" width="39.28515625" bestFit="1" customWidth="1"/>
    <col min="2" max="2" width="22.85546875" bestFit="1" customWidth="1"/>
    <col min="3" max="3" width="12.7109375" bestFit="1" customWidth="1"/>
    <col min="4" max="4" width="13.85546875" bestFit="1" customWidth="1"/>
  </cols>
  <sheetData>
    <row r="1" spans="1:6" ht="43.5" customHeight="1" x14ac:dyDescent="0.25">
      <c r="A1" s="249" t="s">
        <v>449</v>
      </c>
      <c r="B1" s="249"/>
      <c r="C1" s="249"/>
      <c r="D1" s="249"/>
    </row>
    <row r="2" spans="1:6" ht="19.5" customHeight="1" thickBot="1" x14ac:dyDescent="0.3">
      <c r="A2" s="250" t="s">
        <v>476</v>
      </c>
      <c r="B2" s="250"/>
      <c r="C2" s="250"/>
      <c r="D2" s="250"/>
    </row>
    <row r="3" spans="1:6" ht="19.5" thickBot="1" x14ac:dyDescent="0.35">
      <c r="A3" s="118" t="s">
        <v>406</v>
      </c>
      <c r="B3" s="119" t="s">
        <v>400</v>
      </c>
      <c r="C3" s="119" t="s">
        <v>367</v>
      </c>
      <c r="D3" s="184" t="s">
        <v>401</v>
      </c>
    </row>
    <row r="4" spans="1:6" ht="18.75" x14ac:dyDescent="0.25">
      <c r="A4" s="120" t="s">
        <v>407</v>
      </c>
      <c r="B4" s="121" t="s">
        <v>385</v>
      </c>
      <c r="C4" s="121" t="s">
        <v>383</v>
      </c>
      <c r="D4" s="83">
        <f ca="1">SUMIF('Szarvas összesen'!$C$5:$H$102,C4,'Szarvas összesen'!$F$5:$F$102)+SUMIF('Szarvas összesen'!$C$5:$H$102,C4,'Szarvas összesen'!$H$5:$H$102)</f>
        <v>437</v>
      </c>
    </row>
    <row r="5" spans="1:6" ht="18.75" x14ac:dyDescent="0.25">
      <c r="A5" s="122" t="s">
        <v>408</v>
      </c>
      <c r="B5" s="82" t="s">
        <v>387</v>
      </c>
      <c r="C5" s="82" t="s">
        <v>386</v>
      </c>
      <c r="D5" s="83">
        <f ca="1">SUMIF('Szarvas összesen'!$C$5:$H$102,C5,'Szarvas összesen'!$F$5:$F$102)+SUMIF('Szarvas összesen'!$C$5:$H$102,C5,'Szarvas összesen'!$H$5:$H$102)</f>
        <v>89</v>
      </c>
    </row>
    <row r="6" spans="1:6" ht="18.75" x14ac:dyDescent="0.25">
      <c r="A6" s="122" t="s">
        <v>409</v>
      </c>
      <c r="B6" s="82" t="s">
        <v>387</v>
      </c>
      <c r="C6" s="82" t="s">
        <v>388</v>
      </c>
      <c r="D6" s="83">
        <f ca="1">SUMIF('Szarvas összesen'!$C$5:$H$102,C6,'Szarvas összesen'!$F$5:$F$102)+SUMIF('Szarvas összesen'!$C$5:$H$102,C6,'Szarvas összesen'!$H$5:$H$102)</f>
        <v>15</v>
      </c>
    </row>
    <row r="7" spans="1:6" ht="18.75" x14ac:dyDescent="0.25">
      <c r="A7" s="122" t="s">
        <v>410</v>
      </c>
      <c r="B7" s="82" t="s">
        <v>387</v>
      </c>
      <c r="C7" s="82" t="s">
        <v>389</v>
      </c>
      <c r="D7" s="83">
        <f ca="1">SUMIF('Szarvas összesen'!$C$5:$H$102,C7,'Szarvas összesen'!$F$5:$F$102)+SUMIF('Szarvas összesen'!$C$5:$H$102,C7,'Szarvas összesen'!$H$5:$H$102)</f>
        <v>74</v>
      </c>
      <c r="E7" s="137"/>
      <c r="F7" s="137"/>
    </row>
    <row r="8" spans="1:6" ht="18.75" x14ac:dyDescent="0.25">
      <c r="A8" s="122" t="s">
        <v>411</v>
      </c>
      <c r="B8" s="82" t="s">
        <v>373</v>
      </c>
      <c r="C8" s="82" t="s">
        <v>376</v>
      </c>
      <c r="D8" s="83">
        <f ca="1">SUMIF('Vajda összesen'!$C$5:$H$97,C8,'Vajda összesen'!$F$5:$F$96)+SUMIF('Vajda összesen'!$C$5:$H$97,C8,'Vajda összesen'!$H$5:$H$97)</f>
        <v>97</v>
      </c>
    </row>
    <row r="9" spans="1:6" ht="18.75" x14ac:dyDescent="0.25">
      <c r="A9" s="122" t="s">
        <v>412</v>
      </c>
      <c r="B9" s="82" t="s">
        <v>373</v>
      </c>
      <c r="C9" s="82" t="s">
        <v>381</v>
      </c>
      <c r="D9" s="83">
        <f ca="1">SUMIF('Vajda összesen'!$C$5:$H$97,C9,'Vajda összesen'!$F$5:$F$96)+SUMIF('Vajda összesen'!$C$5:$H$97,C9,'Vajda összesen'!$H$5:$H$97)</f>
        <v>81</v>
      </c>
    </row>
    <row r="10" spans="1:6" ht="18.75" x14ac:dyDescent="0.25">
      <c r="A10" s="122" t="s">
        <v>413</v>
      </c>
      <c r="B10" s="82" t="s">
        <v>373</v>
      </c>
      <c r="C10" s="82" t="s">
        <v>377</v>
      </c>
      <c r="D10" s="83">
        <f ca="1">SUMIF('Vajda összesen'!$C$5:$H$97,C10,'Vajda összesen'!$F$5:$F$96)+SUMIF('Vajda összesen'!$C$5:$H$97,C10,'Vajda összesen'!$H$5:$H$97)</f>
        <v>38</v>
      </c>
    </row>
    <row r="11" spans="1:6" ht="18.75" x14ac:dyDescent="0.25">
      <c r="A11" s="122" t="s">
        <v>414</v>
      </c>
      <c r="B11" s="82" t="s">
        <v>373</v>
      </c>
      <c r="C11" s="82" t="s">
        <v>379</v>
      </c>
      <c r="D11" s="83">
        <f ca="1">SUMIF('Vajda összesen'!$C$5:$H$97,C11,'Vajda összesen'!$F$5:$F$96)+SUMIF('Vajda összesen'!$C$5:$H$97,C11,'Vajda összesen'!$H$5:$H$97)</f>
        <v>31</v>
      </c>
    </row>
    <row r="12" spans="1:6" ht="18.75" x14ac:dyDescent="0.25">
      <c r="A12" s="122" t="s">
        <v>415</v>
      </c>
      <c r="B12" s="82" t="s">
        <v>373</v>
      </c>
      <c r="C12" s="82" t="s">
        <v>374</v>
      </c>
      <c r="D12" s="83">
        <f ca="1">SUMIF('Vajda összesen'!$C$5:$H$97,C12,'Vajda összesen'!$F$5:$F$96)+SUMIF('Vajda összesen'!$C$5:$H$97,C12,'Vajda összesen'!$H$5:$H$97)</f>
        <v>0</v>
      </c>
    </row>
    <row r="13" spans="1:6" ht="18.75" x14ac:dyDescent="0.25">
      <c r="A13" s="122" t="s">
        <v>416</v>
      </c>
      <c r="B13" s="82" t="s">
        <v>436</v>
      </c>
      <c r="C13" s="82" t="s">
        <v>383</v>
      </c>
      <c r="D13" s="83">
        <f ca="1">SUMIF('Vajda összesen'!$C$5:$H$97,C13,'Vajda összesen'!$F$5:$F$96)+SUMIF('Vajda összesen'!$C$5:$H$97,C13,'Vajda összesen'!$H$5:$H$97)</f>
        <v>16</v>
      </c>
    </row>
    <row r="14" spans="1:6" ht="18.75" x14ac:dyDescent="0.25">
      <c r="A14" s="122" t="s">
        <v>417</v>
      </c>
      <c r="B14" s="82" t="s">
        <v>373</v>
      </c>
      <c r="C14" s="82" t="s">
        <v>378</v>
      </c>
      <c r="D14" s="83">
        <f ca="1">SUMIF('Vajda összesen'!$C$5:$H$97,C14,'Vajda összesen'!$F$5:$F$96)+SUMIF('Vajda összesen'!$C$5:$H$97,C14,'Vajda összesen'!$H$5:$H$97)</f>
        <v>34</v>
      </c>
    </row>
    <row r="15" spans="1:6" ht="18.75" x14ac:dyDescent="0.25">
      <c r="A15" s="122" t="s">
        <v>418</v>
      </c>
      <c r="B15" s="82" t="s">
        <v>373</v>
      </c>
      <c r="C15" s="82" t="s">
        <v>382</v>
      </c>
      <c r="D15" s="83">
        <f ca="1">SUMIF('Vajda összesen'!$C$5:$H$97,C15,'Vajda összesen'!$F$5:$F$96)+SUMIF('Vajda összesen'!$C$5:$H$97,C15,'Vajda összesen'!$H$5:$H$97)</f>
        <v>0</v>
      </c>
    </row>
    <row r="16" spans="1:6" ht="18.75" x14ac:dyDescent="0.25">
      <c r="A16" s="122" t="s">
        <v>419</v>
      </c>
      <c r="B16" s="82" t="s">
        <v>373</v>
      </c>
      <c r="C16" s="82" t="s">
        <v>372</v>
      </c>
      <c r="D16" s="83">
        <f ca="1">SUMIF('Vajda összesen'!$C$5:$H$97,C16,'Vajda összesen'!$F$5:$F$96)+SUMIF('Vajda összesen'!$C$5:$H$97,C16,'Vajda összesen'!$H$5:$H$97)</f>
        <v>0</v>
      </c>
    </row>
    <row r="17" spans="1:7" ht="18.75" x14ac:dyDescent="0.25">
      <c r="A17" s="122" t="s">
        <v>420</v>
      </c>
      <c r="B17" s="82" t="s">
        <v>373</v>
      </c>
      <c r="C17" s="82" t="s">
        <v>375</v>
      </c>
      <c r="D17" s="83">
        <f ca="1">SUMIF('Vajda összesen'!$C$5:$H$97,C17,'Vajda összesen'!$F$5:$F$96)+SUMIF('Vajda összesen'!$C$5:$H$97,C17,'Vajda összesen'!$H$5:$H$97)</f>
        <v>0</v>
      </c>
    </row>
    <row r="18" spans="1:7" ht="18.75" x14ac:dyDescent="0.25">
      <c r="A18" s="122" t="s">
        <v>421</v>
      </c>
      <c r="B18" s="82" t="s">
        <v>373</v>
      </c>
      <c r="C18" s="82" t="s">
        <v>380</v>
      </c>
      <c r="D18" s="83">
        <f ca="1">SUMIF('Vajda összesen'!$C$5:$H$97,C18,'Vajda összesen'!$F$5:$F$96)+SUMIF('Vajda összesen'!$C$5:$H$97,C18,'Vajda összesen'!$H$5:$H$97)</f>
        <v>117</v>
      </c>
    </row>
    <row r="19" spans="1:7" ht="18.75" x14ac:dyDescent="0.25">
      <c r="A19" s="122" t="s">
        <v>422</v>
      </c>
      <c r="B19" s="82" t="s">
        <v>373</v>
      </c>
      <c r="C19" s="82" t="s">
        <v>393</v>
      </c>
      <c r="D19" s="83">
        <f ca="1">SUMIF('Vajda összesen'!$C$5:$H$97,C19,'Vajda összesen'!$F$5:$F$96)+SUMIF('Vajda összesen'!$C$5:$H$97,C19,'Vajda összesen'!$H$5:$H$97)</f>
        <v>18</v>
      </c>
      <c r="E19" s="137"/>
      <c r="F19" s="137"/>
    </row>
    <row r="20" spans="1:7" ht="18.75" x14ac:dyDescent="0.25">
      <c r="A20" s="122" t="s">
        <v>423</v>
      </c>
      <c r="B20" s="82" t="s">
        <v>397</v>
      </c>
      <c r="C20" s="82" t="s">
        <v>381</v>
      </c>
      <c r="D20" s="83">
        <f ca="1">SUMIF('Örménykút összesen'!$C$5:$H$9,C20,'Örménykút összesen'!$F$5:$F$9)+SUMIF('Örménykút összesen'!$C$5:$H$9,C20,'Örménykút összesen'!$H$5:$H$9)</f>
        <v>20</v>
      </c>
    </row>
    <row r="21" spans="1:7" ht="18.75" x14ac:dyDescent="0.25">
      <c r="A21" s="122" t="s">
        <v>424</v>
      </c>
      <c r="B21" s="82" t="s">
        <v>397</v>
      </c>
      <c r="C21" s="82" t="s">
        <v>393</v>
      </c>
      <c r="D21" s="83">
        <f ca="1">SUMIF('Örménykút összesen'!$C$5:$H$9,C21,'Örménykút összesen'!$F$5:$F$9)+SUMIF('Örménykút összesen'!$C$5:$H$9,C21,'Örménykút összesen'!$H$5:$H$9)</f>
        <v>20</v>
      </c>
    </row>
    <row r="22" spans="1:7" ht="18.75" x14ac:dyDescent="0.25">
      <c r="A22" s="122" t="s">
        <v>425</v>
      </c>
      <c r="B22" s="82" t="s">
        <v>392</v>
      </c>
      <c r="C22" s="82" t="s">
        <v>393</v>
      </c>
      <c r="D22" s="83">
        <f ca="1">SUMIF('Középhalom összesen'!$C$5:$H$8,C22,'Középhalom összesen'!$F$5:$F$8)+SUMIF('Középhalom összesen'!$C$5:$H$8,C22,'Középhalom összesen'!$H$5:$H$8)</f>
        <v>0</v>
      </c>
    </row>
    <row r="23" spans="1:7" ht="18.75" x14ac:dyDescent="0.25">
      <c r="A23" s="122" t="s">
        <v>426</v>
      </c>
      <c r="B23" s="82" t="s">
        <v>392</v>
      </c>
      <c r="C23" s="82" t="s">
        <v>391</v>
      </c>
      <c r="D23" s="83">
        <f ca="1">SUMIF('Középhalom összesen'!$C$5:$H$8,C23,'Középhalom összesen'!$F$5:$F$8)+SUMIF('Középhalom összesen'!$C$5:$H$8,C23,'Középhalom összesen'!$H$5:$H$8)</f>
        <v>20</v>
      </c>
      <c r="F23" s="137"/>
    </row>
    <row r="24" spans="1:7" ht="18.75" x14ac:dyDescent="0.25">
      <c r="A24" s="122" t="s">
        <v>427</v>
      </c>
      <c r="B24" s="82" t="s">
        <v>402</v>
      </c>
      <c r="C24" s="82" t="s">
        <v>393</v>
      </c>
      <c r="D24" s="83">
        <f ca="1">SUMIF('Furugy összesen'!$C$5:$H$7,C24,'Furugy összesen'!$F$5:$F$7)+SUMIF('Furugy összesen'!$C$5:$H$7,C24,'Furugy összesen'!$H$5:$H$7)</f>
        <v>0</v>
      </c>
    </row>
    <row r="25" spans="1:7" ht="18.75" x14ac:dyDescent="0.25">
      <c r="A25" s="122" t="s">
        <v>428</v>
      </c>
      <c r="B25" s="82" t="s">
        <v>395</v>
      </c>
      <c r="C25" s="82" t="s">
        <v>394</v>
      </c>
      <c r="D25" s="83">
        <f ca="1">SUMIF('Szent László összesen'!$C$5:$H$8,C25,'Szent László összesen'!$F$5:$F$8)+SUMIF('Szent László összesen'!$C$5:$H$8,C25,'Szent László összesen'!$H$5:$H$8)</f>
        <v>29</v>
      </c>
      <c r="G25" s="137"/>
    </row>
    <row r="26" spans="1:7" ht="19.5" thickBot="1" x14ac:dyDescent="0.3">
      <c r="A26" s="123" t="s">
        <v>429</v>
      </c>
      <c r="B26" s="84" t="s">
        <v>396</v>
      </c>
      <c r="C26" s="84" t="s">
        <v>383</v>
      </c>
      <c r="D26" s="85">
        <f ca="1">SUMIF('Csabacsűd összesen'!$C$5:$H$17,C26,'Csabacsűd összesen'!$F$5:$F$17)+SUMIF('Csabacsűd összesen'!$C$5:$H$17,C26,'Csabacsűd összesen'!$H$5:$H$17)</f>
        <v>0</v>
      </c>
      <c r="G26" s="137"/>
    </row>
    <row r="27" spans="1:7" ht="19.5" thickBot="1" x14ac:dyDescent="0.3">
      <c r="A27" s="124" t="s">
        <v>403</v>
      </c>
      <c r="B27" s="251">
        <f ca="1">SUM(D4:D26)</f>
        <v>1136</v>
      </c>
      <c r="C27" s="252"/>
      <c r="D27" s="253"/>
    </row>
    <row r="28" spans="1:7" ht="19.5" thickBot="1" x14ac:dyDescent="0.35">
      <c r="A28" s="125" t="s">
        <v>404</v>
      </c>
      <c r="B28" s="246">
        <f>'Furugy összesen'!F7+'Furugy összesen'!H7+'Szarvas összesen'!F103+'Szarvas összesen'!H103+'Középhalom összesen'!F9+'Középhalom összesen'!H9+'Szent László összesen'!F7+'Szent László összesen'!H7+'Csabacsűd összesen'!F18+'Csabacsűd összesen'!H18+'Örménykút összesen'!F10+'Örménykút összesen'!H10+'Vajda összesen'!F98+'Vajda összesen'!H98</f>
        <v>1136</v>
      </c>
      <c r="C28" s="247"/>
      <c r="D28" s="248"/>
    </row>
    <row r="29" spans="1:7" s="78" customFormat="1" ht="19.5" thickBot="1" x14ac:dyDescent="0.35">
      <c r="A29" s="125" t="s">
        <v>455</v>
      </c>
      <c r="B29" s="246">
        <f>Szakácsoknak!B5</f>
        <v>1136</v>
      </c>
      <c r="C29" s="247"/>
      <c r="D29" s="248"/>
    </row>
    <row r="30" spans="1:7" ht="19.5" thickBot="1" x14ac:dyDescent="0.35">
      <c r="A30" s="125" t="s">
        <v>405</v>
      </c>
      <c r="B30" s="246">
        <f ca="1">2*B27-B28-B29</f>
        <v>0</v>
      </c>
      <c r="C30" s="247"/>
      <c r="D30" s="248"/>
    </row>
    <row r="31" spans="1:7" x14ac:dyDescent="0.25">
      <c r="A31" s="78"/>
      <c r="B31" s="78"/>
      <c r="C31" s="78"/>
      <c r="D31" s="78"/>
    </row>
    <row r="32" spans="1:7" x14ac:dyDescent="0.25">
      <c r="A32" s="78"/>
      <c r="B32" s="78"/>
      <c r="C32" s="78"/>
      <c r="D32" s="78"/>
    </row>
    <row r="33" spans="1:4" ht="18.75" x14ac:dyDescent="0.25">
      <c r="A33" s="126" t="s">
        <v>430</v>
      </c>
      <c r="B33" s="78"/>
      <c r="C33" s="78"/>
      <c r="D33" s="78"/>
    </row>
    <row r="34" spans="1:4" x14ac:dyDescent="0.25">
      <c r="A34" s="78"/>
      <c r="B34" s="78"/>
      <c r="C34" s="78"/>
      <c r="D34" s="78"/>
    </row>
    <row r="35" spans="1:4" ht="15.75" x14ac:dyDescent="0.25">
      <c r="A35" s="127" t="s">
        <v>37</v>
      </c>
      <c r="B35" s="78"/>
      <c r="C35" s="78"/>
      <c r="D35" s="78"/>
    </row>
  </sheetData>
  <mergeCells count="6">
    <mergeCell ref="B30:D30"/>
    <mergeCell ref="A1:D1"/>
    <mergeCell ref="A2:D2"/>
    <mergeCell ref="B27:D27"/>
    <mergeCell ref="B28:D28"/>
    <mergeCell ref="B29:D29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"/>
  <sheetViews>
    <sheetView workbookViewId="0">
      <selection activeCell="AF3" sqref="AF3"/>
    </sheetView>
  </sheetViews>
  <sheetFormatPr defaultRowHeight="15" x14ac:dyDescent="0.25"/>
  <cols>
    <col min="1" max="1" width="22.85546875" customWidth="1"/>
    <col min="2" max="32" width="6.140625" customWidth="1"/>
  </cols>
  <sheetData>
    <row r="1" spans="1:32" ht="60" customHeight="1" thickBot="1" x14ac:dyDescent="0.5">
      <c r="A1" s="254" t="s">
        <v>187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6"/>
    </row>
    <row r="2" spans="1:32" ht="60" customHeight="1" thickBot="1" x14ac:dyDescent="0.3">
      <c r="A2" s="178" t="s">
        <v>184</v>
      </c>
      <c r="B2" s="207" t="s">
        <v>88</v>
      </c>
      <c r="C2" s="207" t="s">
        <v>89</v>
      </c>
      <c r="D2" s="207" t="s">
        <v>90</v>
      </c>
      <c r="E2" s="179" t="s">
        <v>91</v>
      </c>
      <c r="F2" s="179" t="s">
        <v>134</v>
      </c>
      <c r="G2" s="179" t="s">
        <v>92</v>
      </c>
      <c r="H2" s="179" t="s">
        <v>93</v>
      </c>
      <c r="I2" s="179" t="s">
        <v>94</v>
      </c>
      <c r="J2" s="207" t="s">
        <v>95</v>
      </c>
      <c r="K2" s="207" t="s">
        <v>96</v>
      </c>
      <c r="L2" s="179" t="s">
        <v>97</v>
      </c>
      <c r="M2" s="179" t="s">
        <v>98</v>
      </c>
      <c r="N2" s="179" t="s">
        <v>99</v>
      </c>
      <c r="O2" s="179" t="s">
        <v>100</v>
      </c>
      <c r="P2" s="179" t="s">
        <v>101</v>
      </c>
      <c r="Q2" s="179" t="s">
        <v>102</v>
      </c>
      <c r="R2" s="179" t="s">
        <v>103</v>
      </c>
      <c r="S2" s="179" t="s">
        <v>104</v>
      </c>
      <c r="T2" s="179" t="s">
        <v>105</v>
      </c>
      <c r="U2" s="179" t="s">
        <v>106</v>
      </c>
      <c r="V2" s="207" t="s">
        <v>107</v>
      </c>
      <c r="W2" s="207" t="s">
        <v>108</v>
      </c>
      <c r="X2" s="179" t="s">
        <v>109</v>
      </c>
      <c r="Y2" s="207" t="s">
        <v>110</v>
      </c>
      <c r="Z2" s="207" t="s">
        <v>111</v>
      </c>
      <c r="AA2" s="207" t="s">
        <v>112</v>
      </c>
      <c r="AB2" s="207" t="s">
        <v>113</v>
      </c>
      <c r="AC2" s="207" t="s">
        <v>114</v>
      </c>
      <c r="AD2" s="207" t="s">
        <v>115</v>
      </c>
      <c r="AE2" s="179" t="s">
        <v>116</v>
      </c>
      <c r="AF2" s="179" t="s">
        <v>117</v>
      </c>
    </row>
    <row r="3" spans="1:32" ht="60" customHeight="1" thickBot="1" x14ac:dyDescent="0.3">
      <c r="A3" s="180" t="s">
        <v>185</v>
      </c>
      <c r="B3" s="208">
        <f>Furugy!B12+Szarvas!B241+Tanulók!B38+Középhalom!B21+'Szent László'!B12+Csabacsűd!B35+Örménykút!B25+Vajda!B244</f>
        <v>7</v>
      </c>
      <c r="C3" s="208">
        <f>Furugy!C12+Szarvas!C241+Tanulók!C38+Középhalom!C21+'Szent László'!C12+Csabacsűd!C35+Örménykút!C25+Vajda!C244</f>
        <v>68</v>
      </c>
      <c r="D3" s="208">
        <f>Furugy!D12+Szarvas!D241+Tanulók!D38+Középhalom!D21+'Szent László'!D12+Csabacsűd!D35+Örménykút!D25+Vajda!D244</f>
        <v>66</v>
      </c>
      <c r="E3" s="183">
        <f>Furugy!E12+Szarvas!E241+Tanulók!E38+Középhalom!E21+'Szent László'!E12+Csabacsűd!E35+Örménykút!E25+Vajda!E244</f>
        <v>50</v>
      </c>
      <c r="F3" s="183">
        <f>Furugy!F12+Szarvas!F241+Tanulók!F38+Középhalom!F21+'Szent László'!F12+Csabacsűd!F35+Örménykút!F25+Vajda!F244</f>
        <v>55</v>
      </c>
      <c r="G3" s="183">
        <f>Furugy!G12+Szarvas!G241+Tanulók!G38+Középhalom!G21+'Szent László'!G12+Csabacsűd!G35+Örménykút!G25+Vajda!G244</f>
        <v>75</v>
      </c>
      <c r="H3" s="183">
        <f>Furugy!H12+Szarvas!H241+Tanulók!H38+Középhalom!H21+'Szent László'!H12+Csabacsűd!H35+Örménykút!H25+Vajda!H244</f>
        <v>28</v>
      </c>
      <c r="I3" s="183">
        <f>Furugy!I12+Szarvas!I241+Tanulók!I38+Középhalom!I21+'Szent László'!I12+Csabacsűd!I35+Örménykút!I25+Vajda!I244</f>
        <v>7</v>
      </c>
      <c r="J3" s="208">
        <f>Furugy!J12+Szarvas!J241+Tanulók!J38+Középhalom!J21+'Szent László'!J12+Csabacsűd!J35+Örménykút!J25+Vajda!J244</f>
        <v>74</v>
      </c>
      <c r="K3" s="208">
        <f>Furugy!K12+Szarvas!K241+Tanulók!K38+Középhalom!K21+'Szent László'!K12+Csabacsűd!K35+Örménykút!K25+Vajda!K244</f>
        <v>58</v>
      </c>
      <c r="L3" s="183">
        <f>Furugy!L12+Szarvas!L241+Tanulók!L38+Középhalom!L21+'Szent László'!L12+Csabacsűd!L35+Örménykút!L25+Vajda!L244</f>
        <v>69</v>
      </c>
      <c r="M3" s="183">
        <f>Furugy!M12+Szarvas!M241+Tanulók!M38+Középhalom!M21+'Szent László'!M12+Csabacsűd!M35+Örménykút!M25+Vajda!M244</f>
        <v>52</v>
      </c>
      <c r="N3" s="183">
        <f>Furugy!N12+Szarvas!N241+Tanulók!N38+Középhalom!N21+'Szent László'!N12+Csabacsűd!N35+Örménykút!N25+Vajda!N244</f>
        <v>63</v>
      </c>
      <c r="O3" s="183">
        <f>Furugy!O12+Szarvas!O241+Tanulók!O38+Középhalom!O21+'Szent László'!O12+Csabacsűd!O35+Örménykút!O25+Vajda!O244</f>
        <v>33</v>
      </c>
      <c r="P3" s="183">
        <f>Furugy!P12+Szarvas!P241+Tanulók!P38+Középhalom!P21+'Szent László'!P12+Csabacsűd!P35+Örménykút!P25+Vajda!P244</f>
        <v>10</v>
      </c>
      <c r="Q3" s="183">
        <f>Furugy!Q12+Szarvas!Q241+Tanulók!Q38+Középhalom!Q21+'Szent László'!Q12+Csabacsűd!Q35+Örménykút!Q25+Vajda!Q244</f>
        <v>51</v>
      </c>
      <c r="R3" s="183">
        <f>Furugy!R12+Szarvas!R241+Tanulók!R38+Középhalom!R21+'Szent László'!R12+Csabacsűd!R35+Örménykút!R25+Vajda!R244</f>
        <v>53</v>
      </c>
      <c r="S3" s="183">
        <f>Furugy!S12+Szarvas!S241+Tanulók!S38+Középhalom!S21+'Szent László'!S12+Csabacsűd!S35+Örménykút!S25+Vajda!S244</f>
        <v>65</v>
      </c>
      <c r="T3" s="183">
        <f>Furugy!T12+Szarvas!T241+Tanulók!T38+Középhalom!T21+'Szent László'!T12+Csabacsűd!T35+Örménykút!T25+Vajda!T244</f>
        <v>60</v>
      </c>
      <c r="U3" s="183">
        <f>Furugy!U12+Szarvas!U241+Tanulók!U38+Középhalom!U21+'Szent László'!U12+Csabacsűd!U35+Örménykút!U25+Vajda!U244</f>
        <v>53</v>
      </c>
      <c r="V3" s="208">
        <f>Furugy!V12+Szarvas!V241+Tanulók!V38+Középhalom!V21+'Szent László'!V12+Csabacsűd!V35+Örménykút!V25+Vajda!V244</f>
        <v>6</v>
      </c>
      <c r="W3" s="208">
        <f>Furugy!W12+Szarvas!W241+Tanulók!W38+Középhalom!W21+'Szent László'!W12+Csabacsűd!W35+Örménykút!W25+Vajda!W244</f>
        <v>10</v>
      </c>
      <c r="X3" s="183">
        <f>Furugy!X12+Szarvas!X241+Tanulók!X38+Középhalom!X21+'Szent László'!X12+Csabacsűd!X35+Örménykút!X25+Vajda!X244</f>
        <v>32</v>
      </c>
      <c r="Y3" s="208">
        <f>Furugy!Y12+Szarvas!Y241+Tanulók!Y38+Középhalom!Y21+'Szent László'!Y12+Csabacsűd!Y35+Örménykút!Y25+Vajda!Y244</f>
        <v>10</v>
      </c>
      <c r="Z3" s="208">
        <f>Furugy!Z12+Szarvas!Z241+Tanulók!Z38+Középhalom!Z21+'Szent László'!Z12+Csabacsűd!Z35+Örménykút!Z25+Vajda!Z244</f>
        <v>7</v>
      </c>
      <c r="AA3" s="208">
        <f>Furugy!AA12+Szarvas!AA241+Tanulók!AA38+Középhalom!AA21+'Szent László'!AA12+Csabacsűd!AA35+Örménykút!AA25+Vajda!AA244</f>
        <v>8</v>
      </c>
      <c r="AB3" s="208">
        <f>Furugy!AB12+Szarvas!AB241+Tanulók!AB38+Középhalom!AB21+'Szent László'!AB12+Csabacsűd!AB35+Örménykút!AB25+Vajda!AB244</f>
        <v>6</v>
      </c>
      <c r="AC3" s="208">
        <f>Furugy!AC12+Szarvas!AC241+Tanulók!AC38+Középhalom!AC21+'Szent László'!AC12+Csabacsűd!AC35+Örménykút!AC25+Vajda!AC244</f>
        <v>7</v>
      </c>
      <c r="AD3" s="208">
        <f>Furugy!AD12+Szarvas!AD241+Tanulók!AD38+Középhalom!AD21+'Szent László'!AD12+Csabacsűd!AD35+Örménykút!AD25+Vajda!AD244</f>
        <v>7</v>
      </c>
      <c r="AE3" s="183">
        <f>Furugy!AE12+Szarvas!AE241+Tanulók!AE38+Középhalom!AE21+'Szent László'!AE12+Csabacsűd!AE35+Örménykút!AE25+Vajda!AE244</f>
        <v>26</v>
      </c>
      <c r="AF3" s="183">
        <f>Furugy!AF12+Szarvas!AF241+Tanulók!AF38+Középhalom!AF21+'Szent László'!AF12+Csabacsűd!AF35+Örménykút!AF25+Vajda!AF244</f>
        <v>20</v>
      </c>
    </row>
    <row r="4" spans="1:32" ht="60" customHeight="1" x14ac:dyDescent="0.45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</row>
    <row r="5" spans="1:32" ht="60" customHeight="1" x14ac:dyDescent="0.45">
      <c r="A5" s="176"/>
      <c r="B5" s="182">
        <f>SUM(B3:AF3)</f>
        <v>1136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</row>
    <row r="8" spans="1:32" x14ac:dyDescent="0.25">
      <c r="R8" s="177"/>
    </row>
  </sheetData>
  <mergeCells count="1">
    <mergeCell ref="A1:AF1"/>
  </mergeCells>
  <pageMargins left="0.70866141732283472" right="0.70866141732283472" top="0.74803149606299213" bottom="0.74803149606299213" header="0.31496062992125984" footer="0.31496062992125984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"/>
  <sheetViews>
    <sheetView workbookViewId="0">
      <pane ySplit="1" topLeftCell="A2" activePane="bottomLeft" state="frozen"/>
      <selection pane="bottomLeft" activeCell="AG13" sqref="AG13"/>
    </sheetView>
  </sheetViews>
  <sheetFormatPr defaultRowHeight="15" x14ac:dyDescent="0.25"/>
  <cols>
    <col min="1" max="1" width="37.5703125" style="42" bestFit="1" customWidth="1"/>
    <col min="2" max="32" width="4.42578125" style="42" customWidth="1"/>
    <col min="33" max="33" width="11.7109375" style="42" bestFit="1" customWidth="1"/>
    <col min="34" max="16384" width="9.140625" style="42"/>
  </cols>
  <sheetData>
    <row r="1" spans="1:33" s="41" customFormat="1" ht="19.5" thickBot="1" x14ac:dyDescent="0.35">
      <c r="A1" s="36" t="s">
        <v>190</v>
      </c>
      <c r="B1" s="37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8">
        <v>30</v>
      </c>
      <c r="AF1" s="39">
        <v>31</v>
      </c>
      <c r="AG1" s="40" t="s">
        <v>10</v>
      </c>
    </row>
    <row r="2" spans="1:33" ht="32.25" thickBot="1" x14ac:dyDescent="0.55000000000000004">
      <c r="A2" s="257" t="s">
        <v>188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9"/>
    </row>
    <row r="3" spans="1:33" s="41" customFormat="1" ht="19.5" thickBot="1" x14ac:dyDescent="0.35">
      <c r="A3" s="260" t="s">
        <v>371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2"/>
    </row>
    <row r="4" spans="1:33" ht="27" customHeight="1" thickBot="1" x14ac:dyDescent="0.35">
      <c r="A4" s="29" t="s">
        <v>398</v>
      </c>
      <c r="B4" s="1"/>
      <c r="C4" s="2"/>
      <c r="D4" s="2"/>
      <c r="E4" s="2"/>
      <c r="F4" s="2"/>
      <c r="G4" s="2"/>
      <c r="H4" s="2"/>
      <c r="I4" s="2"/>
      <c r="J4" s="2"/>
      <c r="K4" s="2"/>
      <c r="L4" s="13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3"/>
      <c r="AG4" s="43">
        <f>SUM(B4:AF4)</f>
        <v>0</v>
      </c>
    </row>
    <row r="5" spans="1:33" ht="27" customHeight="1" thickBot="1" x14ac:dyDescent="0.35">
      <c r="A5" s="65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17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6"/>
      <c r="AG5" s="44">
        <f>SUM(B5:AF5)</f>
        <v>0</v>
      </c>
    </row>
    <row r="6" spans="1:33" ht="27" customHeight="1" thickBot="1" x14ac:dyDescent="0.35">
      <c r="A6" s="46" t="s">
        <v>10</v>
      </c>
      <c r="B6" s="76">
        <f t="shared" ref="B6:AG6" si="0">SUM(B4:B5)</f>
        <v>0</v>
      </c>
      <c r="C6" s="76">
        <f t="shared" si="0"/>
        <v>0</v>
      </c>
      <c r="D6" s="76">
        <f t="shared" si="0"/>
        <v>0</v>
      </c>
      <c r="E6" s="76">
        <f t="shared" si="0"/>
        <v>0</v>
      </c>
      <c r="F6" s="76">
        <f t="shared" si="0"/>
        <v>0</v>
      </c>
      <c r="G6" s="76">
        <f t="shared" si="0"/>
        <v>0</v>
      </c>
      <c r="H6" s="76">
        <f t="shared" si="0"/>
        <v>0</v>
      </c>
      <c r="I6" s="76">
        <f t="shared" si="0"/>
        <v>0</v>
      </c>
      <c r="J6" s="76">
        <f t="shared" si="0"/>
        <v>0</v>
      </c>
      <c r="K6" s="76">
        <f t="shared" si="0"/>
        <v>0</v>
      </c>
      <c r="L6" s="76">
        <f t="shared" si="0"/>
        <v>0</v>
      </c>
      <c r="M6" s="76">
        <f>SUM(M4:M5)</f>
        <v>0</v>
      </c>
      <c r="N6" s="76">
        <f t="shared" si="0"/>
        <v>0</v>
      </c>
      <c r="O6" s="76">
        <f t="shared" si="0"/>
        <v>0</v>
      </c>
      <c r="P6" s="76">
        <f t="shared" si="0"/>
        <v>0</v>
      </c>
      <c r="Q6" s="76">
        <f t="shared" si="0"/>
        <v>0</v>
      </c>
      <c r="R6" s="76">
        <f t="shared" si="0"/>
        <v>0</v>
      </c>
      <c r="S6" s="76">
        <f t="shared" si="0"/>
        <v>0</v>
      </c>
      <c r="T6" s="76">
        <f t="shared" si="0"/>
        <v>0</v>
      </c>
      <c r="U6" s="76">
        <f t="shared" si="0"/>
        <v>0</v>
      </c>
      <c r="V6" s="76">
        <f t="shared" si="0"/>
        <v>0</v>
      </c>
      <c r="W6" s="76">
        <f t="shared" si="0"/>
        <v>0</v>
      </c>
      <c r="X6" s="76">
        <f t="shared" si="0"/>
        <v>0</v>
      </c>
      <c r="Y6" s="76">
        <f t="shared" si="0"/>
        <v>0</v>
      </c>
      <c r="Z6" s="76">
        <f t="shared" si="0"/>
        <v>0</v>
      </c>
      <c r="AA6" s="76">
        <f t="shared" si="0"/>
        <v>0</v>
      </c>
      <c r="AB6" s="76">
        <f t="shared" si="0"/>
        <v>0</v>
      </c>
      <c r="AC6" s="76">
        <f t="shared" si="0"/>
        <v>0</v>
      </c>
      <c r="AD6" s="76">
        <f t="shared" si="0"/>
        <v>0</v>
      </c>
      <c r="AE6" s="76">
        <f t="shared" si="0"/>
        <v>0</v>
      </c>
      <c r="AF6" s="76">
        <f t="shared" si="0"/>
        <v>0</v>
      </c>
      <c r="AG6" s="44">
        <f t="shared" si="0"/>
        <v>0</v>
      </c>
    </row>
    <row r="7" spans="1:33" ht="32.25" thickBot="1" x14ac:dyDescent="0.55000000000000004">
      <c r="A7" s="257" t="s">
        <v>189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9"/>
    </row>
    <row r="8" spans="1:33" ht="19.5" thickBot="1" x14ac:dyDescent="0.35">
      <c r="A8" s="260" t="s">
        <v>371</v>
      </c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  <c r="AE8" s="261"/>
      <c r="AF8" s="261"/>
      <c r="AG8" s="262"/>
    </row>
    <row r="9" spans="1:33" ht="27" customHeight="1" thickBot="1" x14ac:dyDescent="0.35">
      <c r="A9" s="26" t="str">
        <f>A4</f>
        <v>Szemes Józsefné</v>
      </c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3"/>
      <c r="AG9" s="43">
        <f>SUM(B9:AF9)</f>
        <v>0</v>
      </c>
    </row>
    <row r="10" spans="1:33" ht="27" customHeight="1" thickBot="1" x14ac:dyDescent="0.35">
      <c r="A10" s="27">
        <f>A5</f>
        <v>0</v>
      </c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6"/>
      <c r="AG10" s="44">
        <f>SUM(B10:AF10)</f>
        <v>0</v>
      </c>
    </row>
    <row r="11" spans="1:33" ht="27" customHeight="1" thickBot="1" x14ac:dyDescent="0.35">
      <c r="A11" s="46" t="s">
        <v>10</v>
      </c>
      <c r="B11" s="76">
        <f t="shared" ref="B11:AG11" si="1">SUM(B9:B10)</f>
        <v>0</v>
      </c>
      <c r="C11" s="76">
        <f t="shared" si="1"/>
        <v>0</v>
      </c>
      <c r="D11" s="76">
        <f t="shared" si="1"/>
        <v>0</v>
      </c>
      <c r="E11" s="76">
        <f t="shared" si="1"/>
        <v>0</v>
      </c>
      <c r="F11" s="76">
        <f t="shared" si="1"/>
        <v>0</v>
      </c>
      <c r="G11" s="76">
        <f t="shared" si="1"/>
        <v>0</v>
      </c>
      <c r="H11" s="76">
        <f t="shared" si="1"/>
        <v>0</v>
      </c>
      <c r="I11" s="76">
        <f t="shared" si="1"/>
        <v>0</v>
      </c>
      <c r="J11" s="76">
        <f t="shared" si="1"/>
        <v>0</v>
      </c>
      <c r="K11" s="76">
        <f t="shared" si="1"/>
        <v>0</v>
      </c>
      <c r="L11" s="76">
        <f t="shared" si="1"/>
        <v>0</v>
      </c>
      <c r="M11" s="76">
        <f t="shared" si="1"/>
        <v>0</v>
      </c>
      <c r="N11" s="76">
        <f t="shared" si="1"/>
        <v>0</v>
      </c>
      <c r="O11" s="76">
        <f t="shared" si="1"/>
        <v>0</v>
      </c>
      <c r="P11" s="76">
        <f t="shared" si="1"/>
        <v>0</v>
      </c>
      <c r="Q11" s="76">
        <f t="shared" si="1"/>
        <v>0</v>
      </c>
      <c r="R11" s="76">
        <f t="shared" si="1"/>
        <v>0</v>
      </c>
      <c r="S11" s="76">
        <f t="shared" si="1"/>
        <v>0</v>
      </c>
      <c r="T11" s="76">
        <f t="shared" si="1"/>
        <v>0</v>
      </c>
      <c r="U11" s="76">
        <f t="shared" si="1"/>
        <v>0</v>
      </c>
      <c r="V11" s="76">
        <f t="shared" si="1"/>
        <v>0</v>
      </c>
      <c r="W11" s="76">
        <f t="shared" si="1"/>
        <v>0</v>
      </c>
      <c r="X11" s="76">
        <f t="shared" si="1"/>
        <v>0</v>
      </c>
      <c r="Y11" s="76">
        <f t="shared" si="1"/>
        <v>0</v>
      </c>
      <c r="Z11" s="76">
        <f t="shared" si="1"/>
        <v>0</v>
      </c>
      <c r="AA11" s="76">
        <f t="shared" si="1"/>
        <v>0</v>
      </c>
      <c r="AB11" s="76">
        <f t="shared" si="1"/>
        <v>0</v>
      </c>
      <c r="AC11" s="76">
        <f t="shared" si="1"/>
        <v>0</v>
      </c>
      <c r="AD11" s="76">
        <f t="shared" si="1"/>
        <v>0</v>
      </c>
      <c r="AE11" s="76">
        <f t="shared" si="1"/>
        <v>0</v>
      </c>
      <c r="AF11" s="76">
        <f t="shared" si="1"/>
        <v>0</v>
      </c>
      <c r="AG11" s="44">
        <f t="shared" si="1"/>
        <v>0</v>
      </c>
    </row>
    <row r="12" spans="1:33" ht="27" customHeight="1" thickBot="1" x14ac:dyDescent="0.3">
      <c r="A12" s="46" t="s">
        <v>186</v>
      </c>
      <c r="B12" s="47">
        <f>SUM(B6,B11)</f>
        <v>0</v>
      </c>
      <c r="C12" s="47">
        <f t="shared" ref="C12:AF12" si="2">SUM(C6,C11)</f>
        <v>0</v>
      </c>
      <c r="D12" s="47">
        <f t="shared" si="2"/>
        <v>0</v>
      </c>
      <c r="E12" s="47">
        <f t="shared" si="2"/>
        <v>0</v>
      </c>
      <c r="F12" s="47">
        <f t="shared" si="2"/>
        <v>0</v>
      </c>
      <c r="G12" s="47">
        <f t="shared" si="2"/>
        <v>0</v>
      </c>
      <c r="H12" s="47">
        <f t="shared" si="2"/>
        <v>0</v>
      </c>
      <c r="I12" s="47">
        <f t="shared" si="2"/>
        <v>0</v>
      </c>
      <c r="J12" s="47">
        <f t="shared" si="2"/>
        <v>0</v>
      </c>
      <c r="K12" s="47">
        <f t="shared" si="2"/>
        <v>0</v>
      </c>
      <c r="L12" s="47">
        <f t="shared" si="2"/>
        <v>0</v>
      </c>
      <c r="M12" s="47">
        <f t="shared" si="2"/>
        <v>0</v>
      </c>
      <c r="N12" s="47">
        <f t="shared" si="2"/>
        <v>0</v>
      </c>
      <c r="O12" s="47">
        <f t="shared" si="2"/>
        <v>0</v>
      </c>
      <c r="P12" s="47">
        <f t="shared" si="2"/>
        <v>0</v>
      </c>
      <c r="Q12" s="47">
        <f t="shared" si="2"/>
        <v>0</v>
      </c>
      <c r="R12" s="47">
        <f t="shared" si="2"/>
        <v>0</v>
      </c>
      <c r="S12" s="47">
        <f t="shared" si="2"/>
        <v>0</v>
      </c>
      <c r="T12" s="47">
        <f t="shared" si="2"/>
        <v>0</v>
      </c>
      <c r="U12" s="47">
        <f t="shared" si="2"/>
        <v>0</v>
      </c>
      <c r="V12" s="47">
        <f t="shared" si="2"/>
        <v>0</v>
      </c>
      <c r="W12" s="47">
        <f t="shared" si="2"/>
        <v>0</v>
      </c>
      <c r="X12" s="47">
        <f t="shared" si="2"/>
        <v>0</v>
      </c>
      <c r="Y12" s="47">
        <f t="shared" si="2"/>
        <v>0</v>
      </c>
      <c r="Z12" s="47">
        <f t="shared" si="2"/>
        <v>0</v>
      </c>
      <c r="AA12" s="47">
        <f t="shared" si="2"/>
        <v>0</v>
      </c>
      <c r="AB12" s="47">
        <f t="shared" si="2"/>
        <v>0</v>
      </c>
      <c r="AC12" s="47">
        <f t="shared" si="2"/>
        <v>0</v>
      </c>
      <c r="AD12" s="47">
        <f t="shared" si="2"/>
        <v>0</v>
      </c>
      <c r="AE12" s="47">
        <f t="shared" si="2"/>
        <v>0</v>
      </c>
      <c r="AF12" s="47">
        <f t="shared" si="2"/>
        <v>0</v>
      </c>
      <c r="AG12" s="48">
        <f>AG11+AG6</f>
        <v>0</v>
      </c>
    </row>
  </sheetData>
  <sheetProtection formatCells="0" formatColumns="0"/>
  <mergeCells count="4">
    <mergeCell ref="A2:AG2"/>
    <mergeCell ref="A3:AG3"/>
    <mergeCell ref="A7:AG7"/>
    <mergeCell ref="A8:AG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4" sqref="E24"/>
    </sheetView>
  </sheetViews>
  <sheetFormatPr defaultRowHeight="15" x14ac:dyDescent="0.25"/>
  <cols>
    <col min="1" max="1" width="4.140625" style="42" bestFit="1" customWidth="1"/>
    <col min="2" max="2" width="24.85546875" style="42" customWidth="1"/>
    <col min="3" max="3" width="12" style="42" customWidth="1"/>
    <col min="4" max="4" width="14.140625" style="42" customWidth="1"/>
    <col min="5" max="5" width="10.28515625" style="42" customWidth="1"/>
    <col min="6" max="6" width="11.140625" style="42" customWidth="1"/>
    <col min="7" max="7" width="10.28515625" style="42" customWidth="1"/>
    <col min="8" max="8" width="11.85546875" style="42" customWidth="1"/>
    <col min="9" max="9" width="16.42578125" style="42" customWidth="1"/>
    <col min="10" max="16384" width="9.140625" style="42"/>
  </cols>
  <sheetData>
    <row r="1" spans="1:9" ht="39" customHeight="1" x14ac:dyDescent="0.25">
      <c r="A1" s="265" t="s">
        <v>82</v>
      </c>
      <c r="B1" s="266"/>
      <c r="C1" s="266"/>
      <c r="D1" s="266"/>
      <c r="E1" s="266"/>
      <c r="F1" s="266"/>
      <c r="G1" s="267"/>
      <c r="H1" s="69" t="s">
        <v>83</v>
      </c>
      <c r="I1" s="22" t="s">
        <v>184</v>
      </c>
    </row>
    <row r="2" spans="1:9" ht="25.5" x14ac:dyDescent="0.25">
      <c r="A2" s="268" t="s">
        <v>84</v>
      </c>
      <c r="B2" s="269"/>
      <c r="C2" s="269"/>
      <c r="D2" s="269"/>
      <c r="E2" s="269"/>
      <c r="F2" s="269"/>
      <c r="G2" s="270"/>
      <c r="H2" s="52" t="s">
        <v>37</v>
      </c>
      <c r="I2" s="52"/>
    </row>
    <row r="3" spans="1:9" ht="31.5" customHeight="1" x14ac:dyDescent="0.25">
      <c r="A3" s="271" t="s">
        <v>85</v>
      </c>
      <c r="B3" s="272"/>
      <c r="C3" s="71"/>
      <c r="D3" s="71"/>
      <c r="E3" s="271" t="s">
        <v>183</v>
      </c>
      <c r="F3" s="272"/>
      <c r="G3" s="271" t="s">
        <v>182</v>
      </c>
      <c r="H3" s="272"/>
      <c r="I3" s="52"/>
    </row>
    <row r="4" spans="1:9" s="89" customFormat="1" ht="45" x14ac:dyDescent="0.25">
      <c r="A4" s="86" t="s">
        <v>133</v>
      </c>
      <c r="B4" s="87" t="s">
        <v>86</v>
      </c>
      <c r="C4" s="87" t="s">
        <v>369</v>
      </c>
      <c r="D4" s="87" t="s">
        <v>368</v>
      </c>
      <c r="E4" s="87" t="s">
        <v>129</v>
      </c>
      <c r="F4" s="87" t="s">
        <v>131</v>
      </c>
      <c r="G4" s="87" t="s">
        <v>130</v>
      </c>
      <c r="H4" s="88" t="s">
        <v>87</v>
      </c>
      <c r="I4" s="87" t="s">
        <v>132</v>
      </c>
    </row>
    <row r="5" spans="1:9" s="89" customFormat="1" ht="30" customHeight="1" x14ac:dyDescent="0.25">
      <c r="A5" s="90" t="s">
        <v>88</v>
      </c>
      <c r="B5" s="91" t="str">
        <f>Furugy!A4</f>
        <v>Szemes Józsefné</v>
      </c>
      <c r="C5" s="91" t="str">
        <f>VLOOKUP(B5,többinévsor!$A$2:$C$28,2,FALSE)</f>
        <v>X2000006</v>
      </c>
      <c r="D5" s="91" t="str">
        <f>VLOOKUP(B5,többinévsor!$A$2:$C$28,3,FALSE)</f>
        <v>U000030304</v>
      </c>
      <c r="E5" s="92">
        <v>380</v>
      </c>
      <c r="F5" s="93">
        <f>Furugy!AG9</f>
        <v>0</v>
      </c>
      <c r="G5" s="94">
        <v>460</v>
      </c>
      <c r="H5" s="95">
        <f>Furugy!AG4</f>
        <v>0</v>
      </c>
      <c r="I5" s="96">
        <f>(E5*F5)+(G5*H5)</f>
        <v>0</v>
      </c>
    </row>
    <row r="6" spans="1:9" s="89" customFormat="1" ht="30" customHeight="1" thickBot="1" x14ac:dyDescent="0.3">
      <c r="A6" s="90" t="s">
        <v>89</v>
      </c>
      <c r="B6" s="91">
        <f>Furugy!A5</f>
        <v>0</v>
      </c>
      <c r="C6" s="91" t="e">
        <f>VLOOKUP(B6,többinévsor!$A$2:$C$28,2,FALSE)</f>
        <v>#N/A</v>
      </c>
      <c r="D6" s="91" t="e">
        <f>VLOOKUP(B6,többinévsor!$A$2:$C$28,3,FALSE)</f>
        <v>#N/A</v>
      </c>
      <c r="E6" s="92">
        <v>380</v>
      </c>
      <c r="F6" s="93">
        <f>Furugy!AG10</f>
        <v>0</v>
      </c>
      <c r="G6" s="94">
        <v>460</v>
      </c>
      <c r="H6" s="95">
        <f>Furugy!AG5</f>
        <v>0</v>
      </c>
      <c r="I6" s="96">
        <f>(E6*F6)+(G6*H6)</f>
        <v>0</v>
      </c>
    </row>
    <row r="7" spans="1:9" s="89" customFormat="1" ht="30" customHeight="1" thickBot="1" x14ac:dyDescent="0.3">
      <c r="A7" s="97"/>
      <c r="B7" s="98" t="s">
        <v>10</v>
      </c>
      <c r="C7" s="98"/>
      <c r="D7" s="98"/>
      <c r="E7" s="99"/>
      <c r="F7" s="102">
        <f>SUM(F5:F6)</f>
        <v>0</v>
      </c>
      <c r="G7" s="99"/>
      <c r="H7" s="100">
        <f>SUM(H5:H6)</f>
        <v>0</v>
      </c>
      <c r="I7" s="101">
        <f>SUM(I5:I6)</f>
        <v>0</v>
      </c>
    </row>
    <row r="8" spans="1:9" x14ac:dyDescent="0.25">
      <c r="A8" s="56"/>
      <c r="B8" s="57"/>
      <c r="C8" s="57"/>
      <c r="D8" s="57"/>
      <c r="E8" s="57"/>
      <c r="F8" s="57"/>
      <c r="G8" s="58"/>
      <c r="H8" s="58"/>
    </row>
    <row r="9" spans="1:9" x14ac:dyDescent="0.25">
      <c r="A9" s="56"/>
      <c r="B9" s="57"/>
      <c r="C9" s="57"/>
      <c r="D9" s="57"/>
      <c r="E9" s="57"/>
      <c r="F9" s="57"/>
      <c r="G9" s="59"/>
      <c r="H9" s="58"/>
    </row>
    <row r="10" spans="1:9" x14ac:dyDescent="0.25">
      <c r="A10" s="58"/>
      <c r="B10" s="57"/>
      <c r="C10" s="57"/>
      <c r="D10" s="57"/>
      <c r="E10" s="57"/>
      <c r="F10" s="57"/>
      <c r="G10" s="58"/>
      <c r="H10" s="58"/>
    </row>
    <row r="11" spans="1:9" ht="15" customHeight="1" x14ac:dyDescent="0.25">
      <c r="A11" s="58"/>
      <c r="B11" s="263" t="s">
        <v>127</v>
      </c>
      <c r="C11" s="263"/>
      <c r="D11" s="263"/>
      <c r="E11" s="263"/>
      <c r="F11" s="263"/>
      <c r="G11" s="263"/>
      <c r="H11" s="264" t="s">
        <v>128</v>
      </c>
      <c r="I11" s="264"/>
    </row>
  </sheetData>
  <mergeCells count="7">
    <mergeCell ref="B11:G11"/>
    <mergeCell ref="H11:I11"/>
    <mergeCell ref="A1:G1"/>
    <mergeCell ref="A2:G2"/>
    <mergeCell ref="A3:B3"/>
    <mergeCell ref="E3:F3"/>
    <mergeCell ref="G3:H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48"/>
  <sheetViews>
    <sheetView workbookViewId="0">
      <pane ySplit="1" topLeftCell="A179" activePane="bottomLeft" state="frozen"/>
      <selection pane="bottomLeft" activeCell="AI134" sqref="AI134"/>
    </sheetView>
  </sheetViews>
  <sheetFormatPr defaultRowHeight="15" x14ac:dyDescent="0.25"/>
  <cols>
    <col min="1" max="1" width="37.5703125" style="42" bestFit="1" customWidth="1"/>
    <col min="2" max="2" width="4" style="42" customWidth="1"/>
    <col min="3" max="16" width="4.42578125" style="42" customWidth="1"/>
    <col min="17" max="18" width="4.42578125" style="50" customWidth="1"/>
    <col min="19" max="32" width="4.42578125" style="42" customWidth="1"/>
    <col min="33" max="33" width="11.7109375" style="42" bestFit="1" customWidth="1"/>
    <col min="34" max="16384" width="9.140625" style="42"/>
  </cols>
  <sheetData>
    <row r="1" spans="1:33" s="41" customFormat="1" ht="19.5" thickBot="1" x14ac:dyDescent="0.35">
      <c r="A1" s="36" t="s">
        <v>190</v>
      </c>
      <c r="B1" s="37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80">
        <v>16</v>
      </c>
      <c r="R1" s="80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8">
        <v>30</v>
      </c>
      <c r="AF1" s="39">
        <v>31</v>
      </c>
      <c r="AG1" s="40" t="s">
        <v>10</v>
      </c>
    </row>
    <row r="2" spans="1:33" ht="32.25" thickBot="1" x14ac:dyDescent="0.55000000000000004">
      <c r="A2" s="257" t="s">
        <v>188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9"/>
    </row>
    <row r="3" spans="1:33" s="41" customFormat="1" ht="19.5" thickBot="1" x14ac:dyDescent="0.35">
      <c r="A3" s="260" t="s">
        <v>320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2"/>
    </row>
    <row r="4" spans="1:33" ht="27" customHeight="1" thickBot="1" x14ac:dyDescent="0.35">
      <c r="A4" s="27" t="s">
        <v>9</v>
      </c>
      <c r="B4" s="173"/>
      <c r="C4" s="17"/>
      <c r="D4" s="17"/>
      <c r="E4" s="155"/>
      <c r="F4" s="155"/>
      <c r="G4" s="17"/>
      <c r="H4" s="17"/>
      <c r="I4" s="17"/>
      <c r="J4" s="17"/>
      <c r="K4" s="17"/>
      <c r="L4" s="155"/>
      <c r="M4" s="155"/>
      <c r="N4" s="17"/>
      <c r="O4" s="17"/>
      <c r="P4" s="17"/>
      <c r="Q4" s="17"/>
      <c r="R4" s="17"/>
      <c r="S4" s="155"/>
      <c r="T4" s="155"/>
      <c r="U4" s="17"/>
      <c r="V4" s="17"/>
      <c r="W4" s="17"/>
      <c r="X4" s="17"/>
      <c r="Y4" s="17"/>
      <c r="Z4" s="155"/>
      <c r="AA4" s="155"/>
      <c r="AB4" s="17"/>
      <c r="AC4" s="17"/>
      <c r="AD4" s="17"/>
      <c r="AE4" s="17"/>
      <c r="AF4" s="18"/>
      <c r="AG4" s="49">
        <f>SUM(B4:AF4)</f>
        <v>0</v>
      </c>
    </row>
    <row r="5" spans="1:33" ht="27" customHeight="1" thickBot="1" x14ac:dyDescent="0.35">
      <c r="A5" s="30" t="s">
        <v>6</v>
      </c>
      <c r="B5" s="166"/>
      <c r="C5" s="5"/>
      <c r="D5" s="5"/>
      <c r="E5" s="156"/>
      <c r="F5" s="156"/>
      <c r="G5" s="5"/>
      <c r="H5" s="5"/>
      <c r="I5" s="5"/>
      <c r="J5" s="5"/>
      <c r="K5" s="5"/>
      <c r="L5" s="156"/>
      <c r="M5" s="156"/>
      <c r="N5" s="5"/>
      <c r="O5" s="5"/>
      <c r="P5" s="5"/>
      <c r="Q5" s="5"/>
      <c r="R5" s="5"/>
      <c r="S5" s="156"/>
      <c r="T5" s="156"/>
      <c r="U5" s="5"/>
      <c r="V5" s="5"/>
      <c r="W5" s="5"/>
      <c r="X5" s="5"/>
      <c r="Y5" s="5"/>
      <c r="Z5" s="156"/>
      <c r="AA5" s="156"/>
      <c r="AB5" s="5"/>
      <c r="AC5" s="5"/>
      <c r="AD5" s="5"/>
      <c r="AE5" s="5"/>
      <c r="AF5" s="6"/>
      <c r="AG5" s="49">
        <f t="shared" ref="AG5:AG13" si="0">SUM(B5:AF5)</f>
        <v>0</v>
      </c>
    </row>
    <row r="6" spans="1:33" ht="27" customHeight="1" thickBot="1" x14ac:dyDescent="0.35">
      <c r="A6" s="30" t="s">
        <v>460</v>
      </c>
      <c r="B6" s="166"/>
      <c r="C6" s="5"/>
      <c r="D6" s="5"/>
      <c r="E6" s="156"/>
      <c r="F6" s="156"/>
      <c r="G6" s="5"/>
      <c r="H6" s="5"/>
      <c r="I6" s="5"/>
      <c r="J6" s="5"/>
      <c r="K6" s="5"/>
      <c r="L6" s="156"/>
      <c r="M6" s="156"/>
      <c r="N6" s="5"/>
      <c r="O6" s="5"/>
      <c r="P6" s="5"/>
      <c r="Q6" s="5"/>
      <c r="R6" s="5"/>
      <c r="S6" s="156"/>
      <c r="T6" s="156"/>
      <c r="U6" s="5"/>
      <c r="V6" s="5"/>
      <c r="W6" s="5"/>
      <c r="X6" s="5"/>
      <c r="Y6" s="5"/>
      <c r="Z6" s="156"/>
      <c r="AA6" s="156"/>
      <c r="AB6" s="5"/>
      <c r="AC6" s="5"/>
      <c r="AD6" s="5"/>
      <c r="AE6" s="5"/>
      <c r="AF6" s="6"/>
      <c r="AG6" s="49">
        <f t="shared" si="0"/>
        <v>0</v>
      </c>
    </row>
    <row r="7" spans="1:33" ht="27" customHeight="1" thickBot="1" x14ac:dyDescent="0.35">
      <c r="A7" s="30" t="s">
        <v>0</v>
      </c>
      <c r="B7" s="166"/>
      <c r="C7" s="5"/>
      <c r="D7" s="5"/>
      <c r="E7" s="156"/>
      <c r="F7" s="156"/>
      <c r="G7" s="5"/>
      <c r="H7" s="5"/>
      <c r="I7" s="5"/>
      <c r="J7" s="5"/>
      <c r="K7" s="5"/>
      <c r="L7" s="156"/>
      <c r="M7" s="156"/>
      <c r="N7" s="5"/>
      <c r="O7" s="5"/>
      <c r="P7" s="5"/>
      <c r="Q7" s="5"/>
      <c r="R7" s="5"/>
      <c r="S7" s="156"/>
      <c r="T7" s="156"/>
      <c r="U7" s="5"/>
      <c r="V7" s="5"/>
      <c r="W7" s="5"/>
      <c r="X7" s="5"/>
      <c r="Y7" s="5"/>
      <c r="Z7" s="156"/>
      <c r="AA7" s="156"/>
      <c r="AB7" s="5"/>
      <c r="AC7" s="5"/>
      <c r="AD7" s="5"/>
      <c r="AE7" s="5"/>
      <c r="AF7" s="6"/>
      <c r="AG7" s="49">
        <f t="shared" si="0"/>
        <v>0</v>
      </c>
    </row>
    <row r="8" spans="1:33" ht="27" customHeight="1" thickBot="1" x14ac:dyDescent="0.35">
      <c r="A8" s="30" t="s">
        <v>1</v>
      </c>
      <c r="B8" s="166"/>
      <c r="C8" s="5"/>
      <c r="D8" s="5"/>
      <c r="E8" s="156"/>
      <c r="F8" s="156"/>
      <c r="G8" s="5"/>
      <c r="H8" s="5"/>
      <c r="I8" s="5"/>
      <c r="J8" s="5"/>
      <c r="K8" s="5"/>
      <c r="L8" s="156"/>
      <c r="M8" s="156"/>
      <c r="N8" s="5"/>
      <c r="O8" s="5"/>
      <c r="P8" s="5"/>
      <c r="Q8" s="5"/>
      <c r="R8" s="5"/>
      <c r="S8" s="156"/>
      <c r="T8" s="156"/>
      <c r="U8" s="5"/>
      <c r="V8" s="5"/>
      <c r="W8" s="5"/>
      <c r="X8" s="5"/>
      <c r="Y8" s="5"/>
      <c r="Z8" s="156"/>
      <c r="AA8" s="156"/>
      <c r="AB8" s="5"/>
      <c r="AC8" s="5"/>
      <c r="AD8" s="5"/>
      <c r="AE8" s="5"/>
      <c r="AF8" s="6"/>
      <c r="AG8" s="49">
        <f t="shared" si="0"/>
        <v>0</v>
      </c>
    </row>
    <row r="9" spans="1:33" ht="27" customHeight="1" thickBot="1" x14ac:dyDescent="0.35">
      <c r="A9" s="30" t="s">
        <v>3</v>
      </c>
      <c r="B9" s="166"/>
      <c r="C9" s="5"/>
      <c r="D9" s="5"/>
      <c r="E9" s="156"/>
      <c r="F9" s="156"/>
      <c r="G9" s="5"/>
      <c r="H9" s="5"/>
      <c r="I9" s="5"/>
      <c r="J9" s="5"/>
      <c r="K9" s="5"/>
      <c r="L9" s="156"/>
      <c r="M9" s="156"/>
      <c r="N9" s="5"/>
      <c r="O9" s="5"/>
      <c r="P9" s="5"/>
      <c r="Q9" s="5"/>
      <c r="R9" s="5"/>
      <c r="S9" s="156"/>
      <c r="T9" s="156"/>
      <c r="U9" s="5"/>
      <c r="V9" s="5"/>
      <c r="W9" s="5"/>
      <c r="X9" s="5"/>
      <c r="Y9" s="5"/>
      <c r="Z9" s="156"/>
      <c r="AA9" s="156"/>
      <c r="AB9" s="5"/>
      <c r="AC9" s="5"/>
      <c r="AD9" s="5"/>
      <c r="AE9" s="5"/>
      <c r="AF9" s="6"/>
      <c r="AG9" s="49">
        <f t="shared" si="0"/>
        <v>0</v>
      </c>
    </row>
    <row r="10" spans="1:33" ht="27" customHeight="1" thickBot="1" x14ac:dyDescent="0.35">
      <c r="A10" s="30" t="s">
        <v>8</v>
      </c>
      <c r="B10" s="166"/>
      <c r="C10" s="5"/>
      <c r="D10" s="5"/>
      <c r="E10" s="156"/>
      <c r="F10" s="156"/>
      <c r="G10" s="5"/>
      <c r="H10" s="5"/>
      <c r="I10" s="5"/>
      <c r="J10" s="5"/>
      <c r="K10" s="5"/>
      <c r="L10" s="156"/>
      <c r="M10" s="156"/>
      <c r="N10" s="5"/>
      <c r="O10" s="5"/>
      <c r="P10" s="5"/>
      <c r="Q10" s="5"/>
      <c r="R10" s="5"/>
      <c r="S10" s="156"/>
      <c r="T10" s="156"/>
      <c r="U10" s="5"/>
      <c r="V10" s="5"/>
      <c r="W10" s="5"/>
      <c r="X10" s="5"/>
      <c r="Y10" s="5"/>
      <c r="Z10" s="156"/>
      <c r="AA10" s="156"/>
      <c r="AB10" s="5"/>
      <c r="AC10" s="5"/>
      <c r="AD10" s="5"/>
      <c r="AE10" s="5"/>
      <c r="AF10" s="6"/>
      <c r="AG10" s="49">
        <f t="shared" si="0"/>
        <v>0</v>
      </c>
    </row>
    <row r="11" spans="1:33" ht="27" customHeight="1" thickBot="1" x14ac:dyDescent="0.35">
      <c r="A11" s="30" t="s">
        <v>4</v>
      </c>
      <c r="B11" s="166"/>
      <c r="C11" s="5"/>
      <c r="D11" s="5"/>
      <c r="E11" s="156"/>
      <c r="F11" s="156"/>
      <c r="G11" s="5"/>
      <c r="H11" s="5"/>
      <c r="I11" s="5"/>
      <c r="J11" s="5"/>
      <c r="K11" s="5"/>
      <c r="L11" s="156"/>
      <c r="M11" s="156"/>
      <c r="N11" s="5"/>
      <c r="O11" s="5"/>
      <c r="P11" s="5"/>
      <c r="Q11" s="5"/>
      <c r="R11" s="5"/>
      <c r="S11" s="156"/>
      <c r="T11" s="156"/>
      <c r="U11" s="5"/>
      <c r="V11" s="5"/>
      <c r="W11" s="5"/>
      <c r="X11" s="5"/>
      <c r="Y11" s="5"/>
      <c r="Z11" s="156"/>
      <c r="AA11" s="156"/>
      <c r="AB11" s="5"/>
      <c r="AC11" s="5"/>
      <c r="AD11" s="5"/>
      <c r="AE11" s="5"/>
      <c r="AF11" s="6"/>
      <c r="AG11" s="49">
        <f t="shared" si="0"/>
        <v>0</v>
      </c>
    </row>
    <row r="12" spans="1:33" ht="27" customHeight="1" thickBot="1" x14ac:dyDescent="0.35">
      <c r="A12" s="30" t="s">
        <v>7</v>
      </c>
      <c r="B12" s="166"/>
      <c r="C12" s="5"/>
      <c r="D12" s="5"/>
      <c r="E12" s="156"/>
      <c r="F12" s="156"/>
      <c r="G12" s="5"/>
      <c r="H12" s="5"/>
      <c r="I12" s="5"/>
      <c r="J12" s="5"/>
      <c r="K12" s="5"/>
      <c r="L12" s="156"/>
      <c r="M12" s="156"/>
      <c r="N12" s="5"/>
      <c r="O12" s="5"/>
      <c r="P12" s="5"/>
      <c r="Q12" s="5"/>
      <c r="R12" s="5"/>
      <c r="S12" s="156"/>
      <c r="T12" s="156"/>
      <c r="U12" s="5"/>
      <c r="V12" s="5"/>
      <c r="W12" s="5"/>
      <c r="X12" s="5"/>
      <c r="Y12" s="5"/>
      <c r="Z12" s="156"/>
      <c r="AA12" s="156"/>
      <c r="AB12" s="5"/>
      <c r="AC12" s="5"/>
      <c r="AD12" s="5"/>
      <c r="AE12" s="5"/>
      <c r="AF12" s="6"/>
      <c r="AG12" s="49">
        <f t="shared" si="0"/>
        <v>0</v>
      </c>
    </row>
    <row r="13" spans="1:33" ht="27" customHeight="1" thickBot="1" x14ac:dyDescent="0.35">
      <c r="A13" s="32" t="s">
        <v>5</v>
      </c>
      <c r="B13" s="164"/>
      <c r="C13" s="11"/>
      <c r="D13" s="11"/>
      <c r="E13" s="157"/>
      <c r="F13" s="157"/>
      <c r="G13" s="11"/>
      <c r="H13" s="11"/>
      <c r="I13" s="11"/>
      <c r="J13" s="11"/>
      <c r="K13" s="11"/>
      <c r="L13" s="157"/>
      <c r="M13" s="157"/>
      <c r="N13" s="11"/>
      <c r="O13" s="11"/>
      <c r="P13" s="11"/>
      <c r="Q13" s="11"/>
      <c r="R13" s="11"/>
      <c r="S13" s="157"/>
      <c r="T13" s="157"/>
      <c r="U13" s="11"/>
      <c r="V13" s="11"/>
      <c r="W13" s="11"/>
      <c r="X13" s="11"/>
      <c r="Y13" s="11"/>
      <c r="Z13" s="157"/>
      <c r="AA13" s="157"/>
      <c r="AB13" s="11"/>
      <c r="AC13" s="11"/>
      <c r="AD13" s="11"/>
      <c r="AE13" s="11"/>
      <c r="AF13" s="12"/>
      <c r="AG13" s="49">
        <f t="shared" si="0"/>
        <v>0</v>
      </c>
    </row>
    <row r="14" spans="1:33" ht="27" customHeight="1" thickBot="1" x14ac:dyDescent="0.35">
      <c r="A14" s="46" t="s">
        <v>10</v>
      </c>
      <c r="B14" s="158">
        <f>SUM(B4:B13)</f>
        <v>0</v>
      </c>
      <c r="C14" s="158">
        <f t="shared" ref="C14:AF14" si="1">SUM(C4:C13)</f>
        <v>0</v>
      </c>
      <c r="D14" s="158">
        <f t="shared" si="1"/>
        <v>0</v>
      </c>
      <c r="E14" s="158">
        <f t="shared" si="1"/>
        <v>0</v>
      </c>
      <c r="F14" s="158">
        <f t="shared" si="1"/>
        <v>0</v>
      </c>
      <c r="G14" s="158">
        <f t="shared" si="1"/>
        <v>0</v>
      </c>
      <c r="H14" s="158">
        <f t="shared" si="1"/>
        <v>0</v>
      </c>
      <c r="I14" s="158">
        <f t="shared" si="1"/>
        <v>0</v>
      </c>
      <c r="J14" s="158">
        <f t="shared" si="1"/>
        <v>0</v>
      </c>
      <c r="K14" s="158">
        <f t="shared" si="1"/>
        <v>0</v>
      </c>
      <c r="L14" s="158">
        <f t="shared" si="1"/>
        <v>0</v>
      </c>
      <c r="M14" s="158">
        <f t="shared" si="1"/>
        <v>0</v>
      </c>
      <c r="N14" s="158">
        <f t="shared" si="1"/>
        <v>0</v>
      </c>
      <c r="O14" s="158">
        <f t="shared" si="1"/>
        <v>0</v>
      </c>
      <c r="P14" s="158">
        <f t="shared" si="1"/>
        <v>0</v>
      </c>
      <c r="Q14" s="158">
        <f t="shared" si="1"/>
        <v>0</v>
      </c>
      <c r="R14" s="158">
        <f t="shared" si="1"/>
        <v>0</v>
      </c>
      <c r="S14" s="158">
        <f t="shared" si="1"/>
        <v>0</v>
      </c>
      <c r="T14" s="158">
        <f t="shared" si="1"/>
        <v>0</v>
      </c>
      <c r="U14" s="158">
        <f t="shared" si="1"/>
        <v>0</v>
      </c>
      <c r="V14" s="158">
        <f t="shared" si="1"/>
        <v>0</v>
      </c>
      <c r="W14" s="158">
        <f t="shared" si="1"/>
        <v>0</v>
      </c>
      <c r="X14" s="158">
        <f t="shared" si="1"/>
        <v>0</v>
      </c>
      <c r="Y14" s="158">
        <f t="shared" si="1"/>
        <v>0</v>
      </c>
      <c r="Z14" s="158">
        <f t="shared" si="1"/>
        <v>0</v>
      </c>
      <c r="AA14" s="158">
        <f t="shared" si="1"/>
        <v>0</v>
      </c>
      <c r="AB14" s="158">
        <f t="shared" si="1"/>
        <v>0</v>
      </c>
      <c r="AC14" s="158">
        <f t="shared" si="1"/>
        <v>0</v>
      </c>
      <c r="AD14" s="158">
        <f t="shared" si="1"/>
        <v>0</v>
      </c>
      <c r="AE14" s="158">
        <f t="shared" si="1"/>
        <v>0</v>
      </c>
      <c r="AF14" s="158">
        <f t="shared" si="1"/>
        <v>0</v>
      </c>
      <c r="AG14" s="44">
        <f>SUM(B14:AF14)</f>
        <v>0</v>
      </c>
    </row>
    <row r="15" spans="1:33" ht="27" customHeight="1" thickBot="1" x14ac:dyDescent="0.3">
      <c r="A15" s="273" t="s">
        <v>321</v>
      </c>
      <c r="B15" s="274"/>
      <c r="C15" s="274"/>
      <c r="D15" s="274"/>
      <c r="E15" s="274"/>
      <c r="F15" s="274"/>
      <c r="G15" s="274"/>
      <c r="H15" s="274"/>
      <c r="I15" s="274"/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  <c r="AA15" s="274"/>
      <c r="AB15" s="274"/>
      <c r="AC15" s="274"/>
      <c r="AD15" s="274"/>
      <c r="AE15" s="274"/>
      <c r="AF15" s="274"/>
      <c r="AG15" s="275"/>
    </row>
    <row r="16" spans="1:33" ht="27" customHeight="1" thickBot="1" x14ac:dyDescent="0.35">
      <c r="A16" s="27" t="s">
        <v>434</v>
      </c>
      <c r="B16" s="173"/>
      <c r="C16" s="17"/>
      <c r="D16" s="17"/>
      <c r="E16" s="155"/>
      <c r="F16" s="155"/>
      <c r="G16" s="17"/>
      <c r="H16" s="17"/>
      <c r="I16" s="17"/>
      <c r="J16" s="17"/>
      <c r="K16" s="17"/>
      <c r="L16" s="155"/>
      <c r="M16" s="155"/>
      <c r="N16" s="17"/>
      <c r="O16" s="17"/>
      <c r="P16" s="17"/>
      <c r="Q16" s="17"/>
      <c r="R16" s="17"/>
      <c r="S16" s="155"/>
      <c r="T16" s="155"/>
      <c r="U16" s="17"/>
      <c r="V16" s="17"/>
      <c r="W16" s="17"/>
      <c r="X16" s="17"/>
      <c r="Y16" s="17"/>
      <c r="Z16" s="155"/>
      <c r="AA16" s="155"/>
      <c r="AB16" s="17"/>
      <c r="AC16" s="17"/>
      <c r="AD16" s="17"/>
      <c r="AE16" s="17"/>
      <c r="AF16" s="18"/>
      <c r="AG16" s="49">
        <f t="shared" ref="AG16:AG28" si="2">SUM(B16:AF16)</f>
        <v>0</v>
      </c>
    </row>
    <row r="17" spans="1:34" ht="27" customHeight="1" thickBot="1" x14ac:dyDescent="0.35">
      <c r="A17" s="27" t="s">
        <v>431</v>
      </c>
      <c r="B17" s="173"/>
      <c r="C17" s="17"/>
      <c r="D17" s="17"/>
      <c r="E17" s="155"/>
      <c r="F17" s="155"/>
      <c r="G17" s="17"/>
      <c r="H17" s="17"/>
      <c r="I17" s="17"/>
      <c r="J17" s="17"/>
      <c r="K17" s="17"/>
      <c r="L17" s="155"/>
      <c r="M17" s="155"/>
      <c r="N17" s="17"/>
      <c r="O17" s="17"/>
      <c r="P17" s="17"/>
      <c r="Q17" s="17"/>
      <c r="R17" s="17"/>
      <c r="S17" s="155"/>
      <c r="T17" s="155"/>
      <c r="U17" s="17"/>
      <c r="V17" s="17"/>
      <c r="W17" s="17"/>
      <c r="X17" s="17"/>
      <c r="Y17" s="17"/>
      <c r="Z17" s="155"/>
      <c r="AA17" s="155"/>
      <c r="AB17" s="17"/>
      <c r="AC17" s="17"/>
      <c r="AD17" s="17"/>
      <c r="AE17" s="17"/>
      <c r="AF17" s="18"/>
      <c r="AG17" s="49">
        <f t="shared" si="2"/>
        <v>0</v>
      </c>
    </row>
    <row r="18" spans="1:34" ht="27" customHeight="1" thickBot="1" x14ac:dyDescent="0.35">
      <c r="A18" s="30" t="s">
        <v>12</v>
      </c>
      <c r="B18" s="166"/>
      <c r="C18" s="5"/>
      <c r="D18" s="5"/>
      <c r="E18" s="156"/>
      <c r="F18" s="156"/>
      <c r="G18" s="5"/>
      <c r="H18" s="5"/>
      <c r="I18" s="5"/>
      <c r="J18" s="5"/>
      <c r="K18" s="5"/>
      <c r="L18" s="156"/>
      <c r="M18" s="156"/>
      <c r="N18" s="5"/>
      <c r="O18" s="5"/>
      <c r="P18" s="5"/>
      <c r="Q18" s="5"/>
      <c r="R18" s="5"/>
      <c r="S18" s="156"/>
      <c r="T18" s="156"/>
      <c r="U18" s="5"/>
      <c r="V18" s="5"/>
      <c r="W18" s="5"/>
      <c r="X18" s="5"/>
      <c r="Y18" s="5"/>
      <c r="Z18" s="156"/>
      <c r="AA18" s="156"/>
      <c r="AB18" s="5"/>
      <c r="AC18" s="5"/>
      <c r="AD18" s="5"/>
      <c r="AE18" s="5"/>
      <c r="AF18" s="6"/>
      <c r="AG18" s="49">
        <f t="shared" si="2"/>
        <v>0</v>
      </c>
    </row>
    <row r="19" spans="1:34" ht="27" customHeight="1" thickBot="1" x14ac:dyDescent="0.35">
      <c r="A19" s="30" t="s">
        <v>13</v>
      </c>
      <c r="B19" s="166"/>
      <c r="C19" s="5"/>
      <c r="D19" s="5"/>
      <c r="E19" s="156"/>
      <c r="F19" s="156"/>
      <c r="G19" s="5"/>
      <c r="H19" s="5"/>
      <c r="I19" s="5"/>
      <c r="J19" s="5"/>
      <c r="K19" s="5"/>
      <c r="L19" s="156"/>
      <c r="M19" s="156"/>
      <c r="N19" s="5"/>
      <c r="O19" s="5"/>
      <c r="P19" s="5"/>
      <c r="Q19" s="5"/>
      <c r="R19" s="5"/>
      <c r="S19" s="156"/>
      <c r="T19" s="156"/>
      <c r="U19" s="5"/>
      <c r="V19" s="5"/>
      <c r="W19" s="5"/>
      <c r="X19" s="5"/>
      <c r="Y19" s="5"/>
      <c r="Z19" s="156"/>
      <c r="AA19" s="156"/>
      <c r="AB19" s="5"/>
      <c r="AC19" s="5"/>
      <c r="AD19" s="5"/>
      <c r="AE19" s="5"/>
      <c r="AF19" s="6"/>
      <c r="AG19" s="49">
        <f t="shared" si="2"/>
        <v>0</v>
      </c>
    </row>
    <row r="20" spans="1:34" ht="27" customHeight="1" thickBot="1" x14ac:dyDescent="0.35">
      <c r="A20" s="30" t="s">
        <v>14</v>
      </c>
      <c r="B20" s="166"/>
      <c r="C20" s="5"/>
      <c r="D20" s="5"/>
      <c r="E20" s="156"/>
      <c r="F20" s="156"/>
      <c r="G20" s="5"/>
      <c r="H20" s="5"/>
      <c r="I20" s="5"/>
      <c r="J20" s="5"/>
      <c r="K20" s="5"/>
      <c r="L20" s="156"/>
      <c r="M20" s="156"/>
      <c r="N20" s="5"/>
      <c r="O20" s="5"/>
      <c r="P20" s="5"/>
      <c r="Q20" s="5"/>
      <c r="R20" s="5"/>
      <c r="S20" s="156"/>
      <c r="T20" s="156"/>
      <c r="U20" s="5"/>
      <c r="V20" s="5"/>
      <c r="W20" s="5"/>
      <c r="X20" s="5"/>
      <c r="Y20" s="5"/>
      <c r="Z20" s="156"/>
      <c r="AA20" s="156"/>
      <c r="AB20" s="5"/>
      <c r="AC20" s="5"/>
      <c r="AD20" s="5"/>
      <c r="AE20" s="5"/>
      <c r="AF20" s="6"/>
      <c r="AG20" s="49">
        <f t="shared" si="2"/>
        <v>0</v>
      </c>
    </row>
    <row r="21" spans="1:34" ht="27" customHeight="1" thickBot="1" x14ac:dyDescent="0.35">
      <c r="A21" s="30" t="s">
        <v>15</v>
      </c>
      <c r="B21" s="166"/>
      <c r="C21" s="5"/>
      <c r="D21" s="5"/>
      <c r="E21" s="156"/>
      <c r="F21" s="156"/>
      <c r="G21" s="5"/>
      <c r="H21" s="5"/>
      <c r="I21" s="5"/>
      <c r="J21" s="5"/>
      <c r="K21" s="5"/>
      <c r="L21" s="156"/>
      <c r="M21" s="156"/>
      <c r="N21" s="5"/>
      <c r="O21" s="5"/>
      <c r="P21" s="5"/>
      <c r="Q21" s="5"/>
      <c r="R21" s="5"/>
      <c r="S21" s="156"/>
      <c r="T21" s="156"/>
      <c r="U21" s="5"/>
      <c r="V21" s="5"/>
      <c r="W21" s="5"/>
      <c r="X21" s="5"/>
      <c r="Y21" s="5"/>
      <c r="Z21" s="156"/>
      <c r="AA21" s="156"/>
      <c r="AB21" s="5"/>
      <c r="AC21" s="5"/>
      <c r="AD21" s="5"/>
      <c r="AE21" s="5"/>
      <c r="AF21" s="6"/>
      <c r="AG21" s="49">
        <f t="shared" si="2"/>
        <v>0</v>
      </c>
    </row>
    <row r="22" spans="1:34" ht="27" customHeight="1" thickBot="1" x14ac:dyDescent="0.35">
      <c r="A22" s="30" t="s">
        <v>16</v>
      </c>
      <c r="B22" s="166"/>
      <c r="C22" s="5"/>
      <c r="D22" s="5"/>
      <c r="E22" s="156"/>
      <c r="F22" s="156"/>
      <c r="G22" s="5"/>
      <c r="H22" s="5"/>
      <c r="I22" s="5"/>
      <c r="J22" s="5"/>
      <c r="K22" s="5"/>
      <c r="L22" s="156"/>
      <c r="M22" s="156"/>
      <c r="N22" s="5"/>
      <c r="O22" s="5"/>
      <c r="P22" s="5"/>
      <c r="Q22" s="5"/>
      <c r="R22" s="5"/>
      <c r="S22" s="156"/>
      <c r="T22" s="156"/>
      <c r="U22" s="5"/>
      <c r="V22" s="5"/>
      <c r="W22" s="5"/>
      <c r="X22" s="5"/>
      <c r="Y22" s="5"/>
      <c r="Z22" s="156"/>
      <c r="AA22" s="156"/>
      <c r="AB22" s="5"/>
      <c r="AC22" s="5"/>
      <c r="AD22" s="5"/>
      <c r="AE22" s="5"/>
      <c r="AF22" s="6"/>
      <c r="AG22" s="49">
        <f t="shared" si="2"/>
        <v>0</v>
      </c>
    </row>
    <row r="23" spans="1:34" ht="27" customHeight="1" thickBot="1" x14ac:dyDescent="0.35">
      <c r="A23" s="30" t="s">
        <v>17</v>
      </c>
      <c r="B23" s="166"/>
      <c r="C23" s="5"/>
      <c r="D23" s="5"/>
      <c r="E23" s="156"/>
      <c r="F23" s="156"/>
      <c r="G23" s="5"/>
      <c r="H23" s="5"/>
      <c r="I23" s="5"/>
      <c r="J23" s="5"/>
      <c r="K23" s="5"/>
      <c r="L23" s="156"/>
      <c r="M23" s="156"/>
      <c r="N23" s="5"/>
      <c r="O23" s="5"/>
      <c r="P23" s="5"/>
      <c r="Q23" s="5"/>
      <c r="R23" s="5"/>
      <c r="S23" s="156"/>
      <c r="T23" s="156"/>
      <c r="U23" s="5"/>
      <c r="V23" s="5"/>
      <c r="W23" s="5"/>
      <c r="X23" s="5"/>
      <c r="Y23" s="5"/>
      <c r="Z23" s="156"/>
      <c r="AA23" s="156"/>
      <c r="AB23" s="5"/>
      <c r="AC23" s="5"/>
      <c r="AD23" s="5"/>
      <c r="AE23" s="5"/>
      <c r="AF23" s="6"/>
      <c r="AG23" s="49">
        <f t="shared" si="2"/>
        <v>0</v>
      </c>
    </row>
    <row r="24" spans="1:34" ht="27" customHeight="1" thickBot="1" x14ac:dyDescent="0.35">
      <c r="A24" s="30" t="s">
        <v>18</v>
      </c>
      <c r="B24" s="166"/>
      <c r="C24" s="5"/>
      <c r="D24" s="5"/>
      <c r="E24" s="156"/>
      <c r="F24" s="156"/>
      <c r="G24" s="5"/>
      <c r="H24" s="5"/>
      <c r="I24" s="5"/>
      <c r="J24" s="5"/>
      <c r="K24" s="5"/>
      <c r="L24" s="156"/>
      <c r="M24" s="156"/>
      <c r="N24" s="5"/>
      <c r="O24" s="5"/>
      <c r="P24" s="5"/>
      <c r="Q24" s="5"/>
      <c r="R24" s="5"/>
      <c r="S24" s="156"/>
      <c r="T24" s="156"/>
      <c r="U24" s="5"/>
      <c r="V24" s="5"/>
      <c r="W24" s="5"/>
      <c r="X24" s="5"/>
      <c r="Y24" s="5"/>
      <c r="Z24" s="156"/>
      <c r="AA24" s="156"/>
      <c r="AB24" s="5"/>
      <c r="AC24" s="5"/>
      <c r="AD24" s="5"/>
      <c r="AE24" s="5"/>
      <c r="AF24" s="6"/>
      <c r="AG24" s="49">
        <f t="shared" si="2"/>
        <v>0</v>
      </c>
    </row>
    <row r="25" spans="1:34" ht="27" customHeight="1" thickBot="1" x14ac:dyDescent="0.35">
      <c r="A25" s="30" t="s">
        <v>19</v>
      </c>
      <c r="B25" s="166"/>
      <c r="C25" s="5"/>
      <c r="D25" s="5"/>
      <c r="E25" s="156"/>
      <c r="F25" s="156"/>
      <c r="G25" s="5"/>
      <c r="H25" s="5"/>
      <c r="I25" s="5"/>
      <c r="J25" s="5"/>
      <c r="K25" s="5"/>
      <c r="L25" s="156"/>
      <c r="M25" s="156"/>
      <c r="N25" s="5"/>
      <c r="O25" s="5"/>
      <c r="P25" s="5"/>
      <c r="Q25" s="5"/>
      <c r="R25" s="5"/>
      <c r="S25" s="156"/>
      <c r="T25" s="156"/>
      <c r="U25" s="5"/>
      <c r="V25" s="5"/>
      <c r="W25" s="5"/>
      <c r="X25" s="5"/>
      <c r="Y25" s="5"/>
      <c r="Z25" s="156"/>
      <c r="AA25" s="156"/>
      <c r="AB25" s="5"/>
      <c r="AC25" s="5"/>
      <c r="AD25" s="5"/>
      <c r="AE25" s="5"/>
      <c r="AF25" s="6"/>
      <c r="AG25" s="49">
        <f t="shared" si="2"/>
        <v>0</v>
      </c>
    </row>
    <row r="26" spans="1:34" ht="27" customHeight="1" thickBot="1" x14ac:dyDescent="0.35">
      <c r="A26" s="30" t="s">
        <v>20</v>
      </c>
      <c r="B26" s="166"/>
      <c r="C26" s="5"/>
      <c r="D26" s="5"/>
      <c r="E26" s="156"/>
      <c r="F26" s="156"/>
      <c r="G26" s="5"/>
      <c r="H26" s="5"/>
      <c r="I26" s="5"/>
      <c r="J26" s="5"/>
      <c r="K26" s="5"/>
      <c r="L26" s="156"/>
      <c r="M26" s="156"/>
      <c r="N26" s="5"/>
      <c r="O26" s="5"/>
      <c r="P26" s="5"/>
      <c r="Q26" s="5"/>
      <c r="R26" s="5"/>
      <c r="S26" s="156"/>
      <c r="T26" s="156"/>
      <c r="U26" s="5"/>
      <c r="V26" s="5"/>
      <c r="W26" s="5"/>
      <c r="X26" s="5"/>
      <c r="Y26" s="5"/>
      <c r="Z26" s="156"/>
      <c r="AA26" s="156"/>
      <c r="AB26" s="5"/>
      <c r="AC26" s="5"/>
      <c r="AD26" s="5"/>
      <c r="AE26" s="5"/>
      <c r="AF26" s="6"/>
      <c r="AG26" s="49">
        <f t="shared" si="2"/>
        <v>0</v>
      </c>
    </row>
    <row r="27" spans="1:34" ht="27" customHeight="1" thickBot="1" x14ac:dyDescent="0.35">
      <c r="A27" s="30" t="s">
        <v>21</v>
      </c>
      <c r="B27" s="166"/>
      <c r="C27" s="5"/>
      <c r="D27" s="5"/>
      <c r="E27" s="156"/>
      <c r="F27" s="156"/>
      <c r="G27" s="5"/>
      <c r="H27" s="5"/>
      <c r="I27" s="5"/>
      <c r="J27" s="5"/>
      <c r="K27" s="5"/>
      <c r="L27" s="156"/>
      <c r="M27" s="156"/>
      <c r="N27" s="5"/>
      <c r="O27" s="5"/>
      <c r="P27" s="5"/>
      <c r="Q27" s="5"/>
      <c r="R27" s="5"/>
      <c r="S27" s="156"/>
      <c r="T27" s="156"/>
      <c r="U27" s="5"/>
      <c r="V27" s="5"/>
      <c r="W27" s="5"/>
      <c r="X27" s="5"/>
      <c r="Y27" s="5"/>
      <c r="Z27" s="156"/>
      <c r="AA27" s="156"/>
      <c r="AB27" s="5"/>
      <c r="AC27" s="5"/>
      <c r="AD27" s="5"/>
      <c r="AE27" s="5"/>
      <c r="AF27" s="6"/>
      <c r="AG27" s="49">
        <f t="shared" si="2"/>
        <v>0</v>
      </c>
      <c r="AH27" s="50"/>
    </row>
    <row r="28" spans="1:34" ht="27" customHeight="1" thickBot="1" x14ac:dyDescent="0.35">
      <c r="A28" s="32" t="s">
        <v>22</v>
      </c>
      <c r="B28" s="164"/>
      <c r="C28" s="11"/>
      <c r="D28" s="11"/>
      <c r="E28" s="157"/>
      <c r="F28" s="157"/>
      <c r="G28" s="11"/>
      <c r="H28" s="11"/>
      <c r="I28" s="11"/>
      <c r="J28" s="11"/>
      <c r="K28" s="11"/>
      <c r="L28" s="157"/>
      <c r="M28" s="157"/>
      <c r="N28" s="11"/>
      <c r="O28" s="11"/>
      <c r="P28" s="11"/>
      <c r="Q28" s="11"/>
      <c r="R28" s="11"/>
      <c r="S28" s="157"/>
      <c r="T28" s="157"/>
      <c r="U28" s="11"/>
      <c r="V28" s="11"/>
      <c r="W28" s="11"/>
      <c r="X28" s="11"/>
      <c r="Y28" s="11"/>
      <c r="Z28" s="157"/>
      <c r="AA28" s="157"/>
      <c r="AB28" s="11"/>
      <c r="AC28" s="11"/>
      <c r="AD28" s="11"/>
      <c r="AE28" s="11"/>
      <c r="AF28" s="12"/>
      <c r="AG28" s="49">
        <f t="shared" si="2"/>
        <v>0</v>
      </c>
    </row>
    <row r="29" spans="1:34" ht="27" customHeight="1" thickBot="1" x14ac:dyDescent="0.35">
      <c r="A29" s="46" t="s">
        <v>10</v>
      </c>
      <c r="B29" s="158">
        <f>SUM(B16:B28)</f>
        <v>0</v>
      </c>
      <c r="C29" s="158">
        <f t="shared" ref="C29:AF29" si="3">SUM(C16:C28)</f>
        <v>0</v>
      </c>
      <c r="D29" s="158">
        <f t="shared" si="3"/>
        <v>0</v>
      </c>
      <c r="E29" s="158">
        <f t="shared" si="3"/>
        <v>0</v>
      </c>
      <c r="F29" s="158">
        <f t="shared" si="3"/>
        <v>0</v>
      </c>
      <c r="G29" s="158">
        <f t="shared" si="3"/>
        <v>0</v>
      </c>
      <c r="H29" s="158">
        <f t="shared" si="3"/>
        <v>0</v>
      </c>
      <c r="I29" s="158">
        <f t="shared" si="3"/>
        <v>0</v>
      </c>
      <c r="J29" s="158">
        <f t="shared" si="3"/>
        <v>0</v>
      </c>
      <c r="K29" s="158">
        <f t="shared" si="3"/>
        <v>0</v>
      </c>
      <c r="L29" s="158">
        <f t="shared" si="3"/>
        <v>0</v>
      </c>
      <c r="M29" s="158">
        <f t="shared" si="3"/>
        <v>0</v>
      </c>
      <c r="N29" s="158">
        <f t="shared" si="3"/>
        <v>0</v>
      </c>
      <c r="O29" s="158">
        <f t="shared" si="3"/>
        <v>0</v>
      </c>
      <c r="P29" s="158">
        <f t="shared" si="3"/>
        <v>0</v>
      </c>
      <c r="Q29" s="158">
        <f t="shared" si="3"/>
        <v>0</v>
      </c>
      <c r="R29" s="158">
        <f t="shared" si="3"/>
        <v>0</v>
      </c>
      <c r="S29" s="158">
        <f t="shared" si="3"/>
        <v>0</v>
      </c>
      <c r="T29" s="158">
        <f t="shared" si="3"/>
        <v>0</v>
      </c>
      <c r="U29" s="158">
        <f t="shared" si="3"/>
        <v>0</v>
      </c>
      <c r="V29" s="158">
        <f t="shared" si="3"/>
        <v>0</v>
      </c>
      <c r="W29" s="158">
        <f t="shared" si="3"/>
        <v>0</v>
      </c>
      <c r="X29" s="158">
        <f t="shared" si="3"/>
        <v>0</v>
      </c>
      <c r="Y29" s="158">
        <f t="shared" si="3"/>
        <v>0</v>
      </c>
      <c r="Z29" s="158">
        <f t="shared" si="3"/>
        <v>0</v>
      </c>
      <c r="AA29" s="158">
        <f t="shared" si="3"/>
        <v>0</v>
      </c>
      <c r="AB29" s="158">
        <f t="shared" si="3"/>
        <v>0</v>
      </c>
      <c r="AC29" s="158">
        <f t="shared" si="3"/>
        <v>0</v>
      </c>
      <c r="AD29" s="158">
        <f t="shared" si="3"/>
        <v>0</v>
      </c>
      <c r="AE29" s="158">
        <f t="shared" si="3"/>
        <v>0</v>
      </c>
      <c r="AF29" s="158">
        <f t="shared" si="3"/>
        <v>0</v>
      </c>
      <c r="AG29" s="44">
        <f>SUM(B29:AF29)</f>
        <v>0</v>
      </c>
    </row>
    <row r="30" spans="1:34" ht="27" customHeight="1" thickBot="1" x14ac:dyDescent="0.3">
      <c r="A30" s="276" t="s">
        <v>322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  <c r="AG30" s="278"/>
    </row>
    <row r="31" spans="1:34" ht="27" customHeight="1" thickBot="1" x14ac:dyDescent="0.35">
      <c r="A31" s="27" t="s">
        <v>25</v>
      </c>
      <c r="B31" s="173"/>
      <c r="C31" s="17"/>
      <c r="D31" s="17"/>
      <c r="E31" s="155"/>
      <c r="F31" s="155"/>
      <c r="G31" s="17"/>
      <c r="H31" s="17"/>
      <c r="I31" s="17"/>
      <c r="J31" s="17"/>
      <c r="K31" s="17"/>
      <c r="L31" s="155"/>
      <c r="M31" s="155"/>
      <c r="N31" s="17"/>
      <c r="O31" s="17"/>
      <c r="P31" s="17"/>
      <c r="Q31" s="17"/>
      <c r="R31" s="17"/>
      <c r="S31" s="155"/>
      <c r="T31" s="155"/>
      <c r="U31" s="17"/>
      <c r="V31" s="17"/>
      <c r="W31" s="17"/>
      <c r="X31" s="17"/>
      <c r="Y31" s="17"/>
      <c r="Z31" s="155"/>
      <c r="AA31" s="155"/>
      <c r="AB31" s="17"/>
      <c r="AC31" s="17"/>
      <c r="AD31" s="17"/>
      <c r="AE31" s="17"/>
      <c r="AF31" s="18"/>
      <c r="AG31" s="49">
        <f>SUM(B31:AF31)</f>
        <v>0</v>
      </c>
    </row>
    <row r="32" spans="1:34" ht="27" customHeight="1" thickBot="1" x14ac:dyDescent="0.35">
      <c r="A32" s="30" t="s">
        <v>33</v>
      </c>
      <c r="B32" s="166"/>
      <c r="C32" s="5"/>
      <c r="D32" s="5"/>
      <c r="E32" s="156"/>
      <c r="F32" s="156"/>
      <c r="G32" s="5"/>
      <c r="H32" s="5"/>
      <c r="I32" s="5"/>
      <c r="J32" s="5"/>
      <c r="K32" s="5"/>
      <c r="L32" s="156"/>
      <c r="M32" s="156"/>
      <c r="N32" s="5"/>
      <c r="O32" s="5"/>
      <c r="P32" s="5"/>
      <c r="Q32" s="5"/>
      <c r="R32" s="5"/>
      <c r="S32" s="156"/>
      <c r="T32" s="156"/>
      <c r="U32" s="5"/>
      <c r="V32" s="5"/>
      <c r="W32" s="5"/>
      <c r="X32" s="5"/>
      <c r="Y32" s="5"/>
      <c r="Z32" s="156"/>
      <c r="AA32" s="156"/>
      <c r="AB32" s="5"/>
      <c r="AC32" s="5"/>
      <c r="AD32" s="5"/>
      <c r="AE32" s="5"/>
      <c r="AF32" s="6"/>
      <c r="AG32" s="49">
        <f t="shared" ref="AG32:AG44" si="4">SUM(B32:AF32)</f>
        <v>0</v>
      </c>
    </row>
    <row r="33" spans="1:33" ht="27" customHeight="1" thickBot="1" x14ac:dyDescent="0.35">
      <c r="A33" s="30" t="s">
        <v>35</v>
      </c>
      <c r="B33" s="166"/>
      <c r="C33" s="5"/>
      <c r="D33" s="5"/>
      <c r="E33" s="156"/>
      <c r="F33" s="156"/>
      <c r="G33" s="5"/>
      <c r="H33" s="5"/>
      <c r="I33" s="5"/>
      <c r="J33" s="5"/>
      <c r="K33" s="5"/>
      <c r="L33" s="156"/>
      <c r="M33" s="156"/>
      <c r="N33" s="5"/>
      <c r="O33" s="5"/>
      <c r="P33" s="5"/>
      <c r="Q33" s="5"/>
      <c r="R33" s="5"/>
      <c r="S33" s="156"/>
      <c r="T33" s="156"/>
      <c r="U33" s="5"/>
      <c r="V33" s="5"/>
      <c r="W33" s="5"/>
      <c r="X33" s="5"/>
      <c r="Y33" s="5"/>
      <c r="Z33" s="156"/>
      <c r="AA33" s="156"/>
      <c r="AB33" s="5"/>
      <c r="AC33" s="5"/>
      <c r="AD33" s="5"/>
      <c r="AE33" s="5"/>
      <c r="AF33" s="6"/>
      <c r="AG33" s="49">
        <f t="shared" si="4"/>
        <v>0</v>
      </c>
    </row>
    <row r="34" spans="1:33" ht="27" customHeight="1" thickBot="1" x14ac:dyDescent="0.35">
      <c r="A34" s="30" t="s">
        <v>23</v>
      </c>
      <c r="B34" s="166"/>
      <c r="C34" s="5"/>
      <c r="D34" s="5"/>
      <c r="E34" s="156"/>
      <c r="F34" s="156"/>
      <c r="G34" s="5"/>
      <c r="H34" s="5"/>
      <c r="I34" s="5"/>
      <c r="J34" s="5"/>
      <c r="K34" s="5"/>
      <c r="L34" s="156"/>
      <c r="M34" s="156"/>
      <c r="N34" s="5"/>
      <c r="O34" s="5"/>
      <c r="P34" s="5"/>
      <c r="Q34" s="5"/>
      <c r="R34" s="5"/>
      <c r="S34" s="156"/>
      <c r="T34" s="156"/>
      <c r="U34" s="5"/>
      <c r="V34" s="5"/>
      <c r="W34" s="5"/>
      <c r="X34" s="5"/>
      <c r="Y34" s="5"/>
      <c r="Z34" s="156"/>
      <c r="AA34" s="156"/>
      <c r="AB34" s="5"/>
      <c r="AC34" s="5"/>
      <c r="AD34" s="5"/>
      <c r="AE34" s="5"/>
      <c r="AF34" s="6"/>
      <c r="AG34" s="49">
        <f t="shared" si="4"/>
        <v>0</v>
      </c>
    </row>
    <row r="35" spans="1:33" ht="27" customHeight="1" thickBot="1" x14ac:dyDescent="0.35">
      <c r="A35" s="30" t="s">
        <v>30</v>
      </c>
      <c r="B35" s="166"/>
      <c r="C35" s="5"/>
      <c r="D35" s="5"/>
      <c r="E35" s="156"/>
      <c r="F35" s="156"/>
      <c r="G35" s="5"/>
      <c r="H35" s="5"/>
      <c r="I35" s="5"/>
      <c r="J35" s="5"/>
      <c r="K35" s="5"/>
      <c r="L35" s="156"/>
      <c r="M35" s="156"/>
      <c r="N35" s="5"/>
      <c r="O35" s="5"/>
      <c r="P35" s="5"/>
      <c r="Q35" s="5"/>
      <c r="R35" s="5"/>
      <c r="S35" s="156"/>
      <c r="T35" s="156"/>
      <c r="U35" s="5"/>
      <c r="V35" s="5"/>
      <c r="W35" s="5"/>
      <c r="X35" s="5"/>
      <c r="Y35" s="5"/>
      <c r="Z35" s="156"/>
      <c r="AA35" s="156"/>
      <c r="AB35" s="5"/>
      <c r="AC35" s="5"/>
      <c r="AD35" s="5"/>
      <c r="AE35" s="5"/>
      <c r="AF35" s="6"/>
      <c r="AG35" s="49">
        <f t="shared" si="4"/>
        <v>0</v>
      </c>
    </row>
    <row r="36" spans="1:33" ht="27" customHeight="1" thickBot="1" x14ac:dyDescent="0.35">
      <c r="A36" s="30" t="s">
        <v>34</v>
      </c>
      <c r="B36" s="166"/>
      <c r="C36" s="5"/>
      <c r="D36" s="5"/>
      <c r="E36" s="156"/>
      <c r="F36" s="156"/>
      <c r="G36" s="5"/>
      <c r="H36" s="5"/>
      <c r="I36" s="5"/>
      <c r="J36" s="5"/>
      <c r="K36" s="5"/>
      <c r="L36" s="156"/>
      <c r="M36" s="156"/>
      <c r="N36" s="5"/>
      <c r="O36" s="5"/>
      <c r="P36" s="5"/>
      <c r="Q36" s="5"/>
      <c r="R36" s="5"/>
      <c r="S36" s="156"/>
      <c r="T36" s="156"/>
      <c r="U36" s="5"/>
      <c r="V36" s="5"/>
      <c r="W36" s="5"/>
      <c r="X36" s="5"/>
      <c r="Y36" s="5"/>
      <c r="Z36" s="156"/>
      <c r="AA36" s="156"/>
      <c r="AB36" s="5"/>
      <c r="AC36" s="5"/>
      <c r="AD36" s="5"/>
      <c r="AE36" s="5"/>
      <c r="AF36" s="6"/>
      <c r="AG36" s="49">
        <f t="shared" si="4"/>
        <v>0</v>
      </c>
    </row>
    <row r="37" spans="1:33" ht="27" customHeight="1" thickBot="1" x14ac:dyDescent="0.35">
      <c r="A37" s="30" t="s">
        <v>24</v>
      </c>
      <c r="B37" s="166"/>
      <c r="C37" s="5"/>
      <c r="D37" s="5"/>
      <c r="E37" s="156"/>
      <c r="F37" s="156"/>
      <c r="G37" s="5"/>
      <c r="H37" s="5"/>
      <c r="I37" s="5"/>
      <c r="J37" s="5"/>
      <c r="K37" s="5"/>
      <c r="L37" s="156"/>
      <c r="M37" s="156"/>
      <c r="N37" s="5"/>
      <c r="O37" s="5"/>
      <c r="P37" s="5"/>
      <c r="Q37" s="5"/>
      <c r="R37" s="5"/>
      <c r="S37" s="156"/>
      <c r="T37" s="156"/>
      <c r="U37" s="5"/>
      <c r="V37" s="5"/>
      <c r="W37" s="5"/>
      <c r="X37" s="5"/>
      <c r="Y37" s="5"/>
      <c r="Z37" s="156"/>
      <c r="AA37" s="156"/>
      <c r="AB37" s="5"/>
      <c r="AC37" s="5"/>
      <c r="AD37" s="5"/>
      <c r="AE37" s="5"/>
      <c r="AF37" s="6"/>
      <c r="AG37" s="49">
        <f t="shared" si="4"/>
        <v>0</v>
      </c>
    </row>
    <row r="38" spans="1:33" ht="27" customHeight="1" thickBot="1" x14ac:dyDescent="0.35">
      <c r="A38" s="30" t="s">
        <v>462</v>
      </c>
      <c r="B38" s="166"/>
      <c r="C38" s="5"/>
      <c r="D38" s="5"/>
      <c r="E38" s="156"/>
      <c r="F38" s="156"/>
      <c r="G38" s="5"/>
      <c r="H38" s="5"/>
      <c r="I38" s="5"/>
      <c r="J38" s="5"/>
      <c r="K38" s="5"/>
      <c r="L38" s="156"/>
      <c r="M38" s="156"/>
      <c r="N38" s="5"/>
      <c r="O38" s="5"/>
      <c r="P38" s="5"/>
      <c r="Q38" s="5"/>
      <c r="R38" s="5"/>
      <c r="S38" s="156"/>
      <c r="T38" s="156"/>
      <c r="U38" s="5"/>
      <c r="V38" s="5"/>
      <c r="W38" s="5"/>
      <c r="X38" s="5"/>
      <c r="Y38" s="5"/>
      <c r="Z38" s="156"/>
      <c r="AA38" s="156"/>
      <c r="AB38" s="5"/>
      <c r="AC38" s="5"/>
      <c r="AD38" s="5"/>
      <c r="AE38" s="5"/>
      <c r="AF38" s="6"/>
      <c r="AG38" s="49">
        <f t="shared" si="4"/>
        <v>0</v>
      </c>
    </row>
    <row r="39" spans="1:33" ht="27" customHeight="1" thickBot="1" x14ac:dyDescent="0.35">
      <c r="A39" s="30" t="s">
        <v>32</v>
      </c>
      <c r="B39" s="166"/>
      <c r="C39" s="5"/>
      <c r="D39" s="5"/>
      <c r="E39" s="156"/>
      <c r="F39" s="156"/>
      <c r="G39" s="5"/>
      <c r="H39" s="5"/>
      <c r="I39" s="5"/>
      <c r="J39" s="5"/>
      <c r="K39" s="5"/>
      <c r="L39" s="156"/>
      <c r="M39" s="156"/>
      <c r="N39" s="5"/>
      <c r="O39" s="5"/>
      <c r="P39" s="5"/>
      <c r="Q39" s="5"/>
      <c r="R39" s="5"/>
      <c r="S39" s="156"/>
      <c r="T39" s="156"/>
      <c r="U39" s="5"/>
      <c r="V39" s="5"/>
      <c r="W39" s="5"/>
      <c r="X39" s="5"/>
      <c r="Y39" s="5"/>
      <c r="Z39" s="156"/>
      <c r="AA39" s="156"/>
      <c r="AB39" s="5"/>
      <c r="AC39" s="5"/>
      <c r="AD39" s="5"/>
      <c r="AE39" s="5"/>
      <c r="AF39" s="6"/>
      <c r="AG39" s="49">
        <f t="shared" si="4"/>
        <v>0</v>
      </c>
    </row>
    <row r="40" spans="1:33" ht="27" customHeight="1" thickBot="1" x14ac:dyDescent="0.35">
      <c r="A40" s="30" t="s">
        <v>29</v>
      </c>
      <c r="B40" s="166"/>
      <c r="C40" s="5"/>
      <c r="D40" s="5"/>
      <c r="E40" s="156"/>
      <c r="F40" s="156"/>
      <c r="G40" s="5"/>
      <c r="H40" s="5"/>
      <c r="I40" s="5"/>
      <c r="J40" s="5"/>
      <c r="K40" s="5"/>
      <c r="L40" s="156"/>
      <c r="M40" s="156"/>
      <c r="N40" s="5"/>
      <c r="O40" s="5"/>
      <c r="P40" s="5"/>
      <c r="Q40" s="5"/>
      <c r="R40" s="5"/>
      <c r="S40" s="156"/>
      <c r="T40" s="156"/>
      <c r="U40" s="5"/>
      <c r="V40" s="5"/>
      <c r="W40" s="5"/>
      <c r="X40" s="5"/>
      <c r="Y40" s="5"/>
      <c r="Z40" s="156"/>
      <c r="AA40" s="156"/>
      <c r="AB40" s="5"/>
      <c r="AC40" s="5"/>
      <c r="AD40" s="5"/>
      <c r="AE40" s="5"/>
      <c r="AF40" s="6"/>
      <c r="AG40" s="49">
        <f t="shared" si="4"/>
        <v>0</v>
      </c>
    </row>
    <row r="41" spans="1:33" ht="27" customHeight="1" thickBot="1" x14ac:dyDescent="0.35">
      <c r="A41" s="30" t="s">
        <v>28</v>
      </c>
      <c r="B41" s="166"/>
      <c r="C41" s="5"/>
      <c r="D41" s="5"/>
      <c r="E41" s="156"/>
      <c r="F41" s="156"/>
      <c r="G41" s="5"/>
      <c r="H41" s="5"/>
      <c r="I41" s="5"/>
      <c r="J41" s="5">
        <v>1</v>
      </c>
      <c r="K41" s="5"/>
      <c r="L41" s="156"/>
      <c r="M41" s="156"/>
      <c r="N41" s="5"/>
      <c r="O41" s="5">
        <v>1</v>
      </c>
      <c r="P41" s="5">
        <v>1</v>
      </c>
      <c r="Q41" s="5"/>
      <c r="R41" s="5"/>
      <c r="S41" s="156"/>
      <c r="T41" s="156"/>
      <c r="U41" s="5"/>
      <c r="V41" s="5"/>
      <c r="W41" s="5"/>
      <c r="X41" s="5"/>
      <c r="Y41" s="5"/>
      <c r="Z41" s="156"/>
      <c r="AA41" s="156"/>
      <c r="AB41" s="5"/>
      <c r="AC41" s="5"/>
      <c r="AD41" s="5"/>
      <c r="AE41" s="5"/>
      <c r="AF41" s="6"/>
      <c r="AG41" s="49">
        <f t="shared" si="4"/>
        <v>3</v>
      </c>
    </row>
    <row r="42" spans="1:33" ht="27" customHeight="1" thickBot="1" x14ac:dyDescent="0.35">
      <c r="A42" s="30" t="s">
        <v>26</v>
      </c>
      <c r="B42" s="166"/>
      <c r="C42" s="5"/>
      <c r="D42" s="5"/>
      <c r="E42" s="156"/>
      <c r="F42" s="156"/>
      <c r="G42" s="5"/>
      <c r="H42" s="5"/>
      <c r="I42" s="5"/>
      <c r="J42" s="5"/>
      <c r="K42" s="5"/>
      <c r="L42" s="156"/>
      <c r="M42" s="156"/>
      <c r="N42" s="5"/>
      <c r="O42" s="5"/>
      <c r="P42" s="5"/>
      <c r="Q42" s="5"/>
      <c r="R42" s="5"/>
      <c r="S42" s="156"/>
      <c r="T42" s="156"/>
      <c r="U42" s="5"/>
      <c r="V42" s="5"/>
      <c r="W42" s="5"/>
      <c r="X42" s="5"/>
      <c r="Y42" s="5"/>
      <c r="Z42" s="156"/>
      <c r="AA42" s="156"/>
      <c r="AB42" s="5"/>
      <c r="AC42" s="5"/>
      <c r="AD42" s="5"/>
      <c r="AE42" s="5"/>
      <c r="AF42" s="6"/>
      <c r="AG42" s="49">
        <f t="shared" si="4"/>
        <v>0</v>
      </c>
    </row>
    <row r="43" spans="1:33" ht="27" customHeight="1" thickBot="1" x14ac:dyDescent="0.35">
      <c r="A43" s="30" t="s">
        <v>27</v>
      </c>
      <c r="B43" s="166"/>
      <c r="C43" s="5"/>
      <c r="D43" s="5"/>
      <c r="E43" s="156"/>
      <c r="F43" s="156"/>
      <c r="G43" s="5"/>
      <c r="H43" s="5"/>
      <c r="I43" s="5"/>
      <c r="J43" s="5"/>
      <c r="K43" s="5"/>
      <c r="L43" s="156"/>
      <c r="M43" s="156"/>
      <c r="N43" s="5"/>
      <c r="O43" s="5"/>
      <c r="P43" s="5"/>
      <c r="Q43" s="5"/>
      <c r="R43" s="5"/>
      <c r="S43" s="156"/>
      <c r="T43" s="156"/>
      <c r="U43" s="5"/>
      <c r="V43" s="5"/>
      <c r="W43" s="5"/>
      <c r="X43" s="5"/>
      <c r="Y43" s="5"/>
      <c r="Z43" s="156"/>
      <c r="AA43" s="156"/>
      <c r="AB43" s="5"/>
      <c r="AC43" s="5"/>
      <c r="AD43" s="5"/>
      <c r="AE43" s="5"/>
      <c r="AF43" s="6"/>
      <c r="AG43" s="49">
        <f t="shared" si="4"/>
        <v>0</v>
      </c>
    </row>
    <row r="44" spans="1:33" ht="27" customHeight="1" thickBot="1" x14ac:dyDescent="0.35">
      <c r="A44" s="32" t="s">
        <v>31</v>
      </c>
      <c r="B44" s="164"/>
      <c r="C44" s="11"/>
      <c r="D44" s="11"/>
      <c r="E44" s="157"/>
      <c r="F44" s="157"/>
      <c r="G44" s="11"/>
      <c r="H44" s="11"/>
      <c r="I44" s="11"/>
      <c r="J44" s="11"/>
      <c r="K44" s="11"/>
      <c r="L44" s="157"/>
      <c r="M44" s="157"/>
      <c r="N44" s="11"/>
      <c r="O44" s="11"/>
      <c r="P44" s="11"/>
      <c r="Q44" s="11"/>
      <c r="R44" s="11"/>
      <c r="S44" s="157"/>
      <c r="T44" s="157"/>
      <c r="U44" s="11"/>
      <c r="V44" s="11"/>
      <c r="W44" s="11"/>
      <c r="X44" s="11"/>
      <c r="Y44" s="11"/>
      <c r="Z44" s="157"/>
      <c r="AA44" s="157"/>
      <c r="AB44" s="11"/>
      <c r="AC44" s="11"/>
      <c r="AD44" s="11"/>
      <c r="AE44" s="11"/>
      <c r="AF44" s="12"/>
      <c r="AG44" s="49">
        <f t="shared" si="4"/>
        <v>0</v>
      </c>
    </row>
    <row r="45" spans="1:33" ht="27" customHeight="1" thickBot="1" x14ac:dyDescent="0.35">
      <c r="A45" s="46" t="s">
        <v>10</v>
      </c>
      <c r="B45" s="158">
        <f>SUM(B31:B44)</f>
        <v>0</v>
      </c>
      <c r="C45" s="158">
        <f t="shared" ref="C45:AF45" si="5">SUM(C31:C44)</f>
        <v>0</v>
      </c>
      <c r="D45" s="158">
        <f t="shared" si="5"/>
        <v>0</v>
      </c>
      <c r="E45" s="158">
        <f t="shared" si="5"/>
        <v>0</v>
      </c>
      <c r="F45" s="158">
        <f t="shared" si="5"/>
        <v>0</v>
      </c>
      <c r="G45" s="158">
        <f t="shared" si="5"/>
        <v>0</v>
      </c>
      <c r="H45" s="158">
        <f t="shared" si="5"/>
        <v>0</v>
      </c>
      <c r="I45" s="158">
        <f t="shared" si="5"/>
        <v>0</v>
      </c>
      <c r="J45" s="158">
        <f t="shared" si="5"/>
        <v>1</v>
      </c>
      <c r="K45" s="158">
        <f t="shared" si="5"/>
        <v>0</v>
      </c>
      <c r="L45" s="158">
        <f t="shared" si="5"/>
        <v>0</v>
      </c>
      <c r="M45" s="158">
        <f t="shared" si="5"/>
        <v>0</v>
      </c>
      <c r="N45" s="158">
        <f t="shared" si="5"/>
        <v>0</v>
      </c>
      <c r="O45" s="158">
        <f t="shared" si="5"/>
        <v>1</v>
      </c>
      <c r="P45" s="158">
        <f t="shared" si="5"/>
        <v>1</v>
      </c>
      <c r="Q45" s="158">
        <f t="shared" si="5"/>
        <v>0</v>
      </c>
      <c r="R45" s="158">
        <f t="shared" si="5"/>
        <v>0</v>
      </c>
      <c r="S45" s="158">
        <f t="shared" si="5"/>
        <v>0</v>
      </c>
      <c r="T45" s="158">
        <f t="shared" si="5"/>
        <v>0</v>
      </c>
      <c r="U45" s="158">
        <f t="shared" si="5"/>
        <v>0</v>
      </c>
      <c r="V45" s="158">
        <f t="shared" si="5"/>
        <v>0</v>
      </c>
      <c r="W45" s="158">
        <f t="shared" si="5"/>
        <v>0</v>
      </c>
      <c r="X45" s="158">
        <f t="shared" si="5"/>
        <v>0</v>
      </c>
      <c r="Y45" s="158">
        <f t="shared" si="5"/>
        <v>0</v>
      </c>
      <c r="Z45" s="158">
        <f t="shared" si="5"/>
        <v>0</v>
      </c>
      <c r="AA45" s="158">
        <f t="shared" si="5"/>
        <v>0</v>
      </c>
      <c r="AB45" s="158">
        <f t="shared" si="5"/>
        <v>0</v>
      </c>
      <c r="AC45" s="158">
        <f t="shared" si="5"/>
        <v>0</v>
      </c>
      <c r="AD45" s="158">
        <f t="shared" si="5"/>
        <v>0</v>
      </c>
      <c r="AE45" s="158">
        <f t="shared" si="5"/>
        <v>0</v>
      </c>
      <c r="AF45" s="158">
        <f t="shared" si="5"/>
        <v>0</v>
      </c>
      <c r="AG45" s="44">
        <f>SUM(B45:AF45)</f>
        <v>3</v>
      </c>
    </row>
    <row r="46" spans="1:33" ht="27" customHeight="1" thickBot="1" x14ac:dyDescent="0.3">
      <c r="A46" s="276" t="s">
        <v>323</v>
      </c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7"/>
      <c r="AC46" s="277"/>
      <c r="AD46" s="277"/>
      <c r="AE46" s="277"/>
      <c r="AF46" s="277"/>
      <c r="AG46" s="278"/>
    </row>
    <row r="47" spans="1:33" ht="27" customHeight="1" thickBot="1" x14ac:dyDescent="0.35">
      <c r="A47" s="27" t="s">
        <v>47</v>
      </c>
      <c r="B47" s="173"/>
      <c r="C47" s="17"/>
      <c r="D47" s="17"/>
      <c r="E47" s="155"/>
      <c r="F47" s="155"/>
      <c r="G47" s="17"/>
      <c r="H47" s="17"/>
      <c r="I47" s="17"/>
      <c r="J47" s="17"/>
      <c r="K47" s="17"/>
      <c r="L47" s="155"/>
      <c r="M47" s="155"/>
      <c r="N47" s="17"/>
      <c r="O47" s="17"/>
      <c r="P47" s="17"/>
      <c r="Q47" s="17"/>
      <c r="R47" s="17"/>
      <c r="S47" s="155"/>
      <c r="T47" s="155"/>
      <c r="U47" s="17"/>
      <c r="V47" s="17"/>
      <c r="W47" s="17"/>
      <c r="X47" s="17"/>
      <c r="Y47" s="17"/>
      <c r="Z47" s="155"/>
      <c r="AA47" s="155"/>
      <c r="AB47" s="17"/>
      <c r="AC47" s="17"/>
      <c r="AD47" s="17"/>
      <c r="AE47" s="17"/>
      <c r="AF47" s="18"/>
      <c r="AG47" s="49">
        <f>SUM(B47:AF47)</f>
        <v>0</v>
      </c>
    </row>
    <row r="48" spans="1:33" ht="27" customHeight="1" thickBot="1" x14ac:dyDescent="0.35">
      <c r="A48" s="30" t="s">
        <v>46</v>
      </c>
      <c r="B48" s="166"/>
      <c r="C48" s="5"/>
      <c r="D48" s="5"/>
      <c r="E48" s="156"/>
      <c r="F48" s="156"/>
      <c r="G48" s="5"/>
      <c r="H48" s="5"/>
      <c r="I48" s="5"/>
      <c r="J48" s="5"/>
      <c r="K48" s="5"/>
      <c r="L48" s="156"/>
      <c r="M48" s="156"/>
      <c r="N48" s="5"/>
      <c r="O48" s="5"/>
      <c r="P48" s="5"/>
      <c r="Q48" s="5"/>
      <c r="R48" s="5"/>
      <c r="S48" s="156"/>
      <c r="T48" s="156"/>
      <c r="U48" s="5"/>
      <c r="V48" s="5"/>
      <c r="W48" s="5"/>
      <c r="X48" s="5"/>
      <c r="Y48" s="5"/>
      <c r="Z48" s="156"/>
      <c r="AA48" s="156"/>
      <c r="AB48" s="5"/>
      <c r="AC48" s="5"/>
      <c r="AD48" s="5"/>
      <c r="AE48" s="5"/>
      <c r="AF48" s="6"/>
      <c r="AG48" s="49">
        <f t="shared" ref="AG48:AG59" si="6">SUM(B48:AF48)</f>
        <v>0</v>
      </c>
    </row>
    <row r="49" spans="1:33" ht="27" customHeight="1" thickBot="1" x14ac:dyDescent="0.35">
      <c r="A49" s="30" t="s">
        <v>48</v>
      </c>
      <c r="B49" s="166"/>
      <c r="C49" s="5"/>
      <c r="D49" s="5"/>
      <c r="E49" s="156"/>
      <c r="F49" s="156"/>
      <c r="G49" s="5"/>
      <c r="H49" s="5"/>
      <c r="I49" s="5"/>
      <c r="J49" s="5"/>
      <c r="K49" s="5"/>
      <c r="L49" s="156"/>
      <c r="M49" s="156"/>
      <c r="N49" s="5"/>
      <c r="O49" s="5"/>
      <c r="P49" s="5"/>
      <c r="Q49" s="5"/>
      <c r="R49" s="5"/>
      <c r="S49" s="156"/>
      <c r="T49" s="156"/>
      <c r="U49" s="5"/>
      <c r="V49" s="5"/>
      <c r="W49" s="5"/>
      <c r="X49" s="5"/>
      <c r="Y49" s="5"/>
      <c r="Z49" s="156"/>
      <c r="AA49" s="156"/>
      <c r="AB49" s="5"/>
      <c r="AC49" s="5"/>
      <c r="AD49" s="5"/>
      <c r="AE49" s="5"/>
      <c r="AF49" s="6"/>
      <c r="AG49" s="49">
        <f t="shared" si="6"/>
        <v>0</v>
      </c>
    </row>
    <row r="50" spans="1:33" ht="27" customHeight="1" thickBot="1" x14ac:dyDescent="0.35">
      <c r="A50" s="30" t="s">
        <v>49</v>
      </c>
      <c r="B50" s="166"/>
      <c r="C50" s="5"/>
      <c r="D50" s="5"/>
      <c r="E50" s="156"/>
      <c r="F50" s="156"/>
      <c r="G50" s="5"/>
      <c r="H50" s="5"/>
      <c r="I50" s="5"/>
      <c r="J50" s="5"/>
      <c r="K50" s="5"/>
      <c r="L50" s="156"/>
      <c r="M50" s="156"/>
      <c r="N50" s="5"/>
      <c r="O50" s="5"/>
      <c r="P50" s="5"/>
      <c r="Q50" s="5"/>
      <c r="R50" s="5"/>
      <c r="S50" s="156"/>
      <c r="T50" s="156"/>
      <c r="U50" s="5"/>
      <c r="V50" s="5"/>
      <c r="W50" s="5"/>
      <c r="X50" s="5"/>
      <c r="Y50" s="5"/>
      <c r="Z50" s="156"/>
      <c r="AA50" s="156"/>
      <c r="AB50" s="5"/>
      <c r="AC50" s="5"/>
      <c r="AD50" s="5"/>
      <c r="AE50" s="5"/>
      <c r="AF50" s="6"/>
      <c r="AG50" s="49">
        <f t="shared" si="6"/>
        <v>0</v>
      </c>
    </row>
    <row r="51" spans="1:33" ht="27" customHeight="1" thickBot="1" x14ac:dyDescent="0.35">
      <c r="A51" s="30" t="s">
        <v>50</v>
      </c>
      <c r="B51" s="166"/>
      <c r="C51" s="5"/>
      <c r="D51" s="5"/>
      <c r="E51" s="156"/>
      <c r="F51" s="156"/>
      <c r="G51" s="5"/>
      <c r="H51" s="5"/>
      <c r="I51" s="5"/>
      <c r="J51" s="5"/>
      <c r="K51" s="5"/>
      <c r="L51" s="156"/>
      <c r="M51" s="156"/>
      <c r="N51" s="5"/>
      <c r="O51" s="5"/>
      <c r="P51" s="5"/>
      <c r="Q51" s="5"/>
      <c r="R51" s="5"/>
      <c r="S51" s="156"/>
      <c r="T51" s="156"/>
      <c r="U51" s="5"/>
      <c r="V51" s="5"/>
      <c r="W51" s="5"/>
      <c r="X51" s="5"/>
      <c r="Y51" s="5"/>
      <c r="Z51" s="156"/>
      <c r="AA51" s="156"/>
      <c r="AB51" s="5"/>
      <c r="AC51" s="5"/>
      <c r="AD51" s="5"/>
      <c r="AE51" s="5"/>
      <c r="AF51" s="6"/>
      <c r="AG51" s="49">
        <f t="shared" si="6"/>
        <v>0</v>
      </c>
    </row>
    <row r="52" spans="1:33" ht="27" customHeight="1" thickBot="1" x14ac:dyDescent="0.35">
      <c r="A52" s="30" t="s">
        <v>51</v>
      </c>
      <c r="B52" s="166"/>
      <c r="C52" s="5"/>
      <c r="D52" s="5"/>
      <c r="E52" s="156"/>
      <c r="F52" s="156"/>
      <c r="G52" s="5"/>
      <c r="H52" s="5"/>
      <c r="I52" s="5"/>
      <c r="J52" s="5"/>
      <c r="K52" s="5"/>
      <c r="L52" s="156"/>
      <c r="M52" s="156"/>
      <c r="N52" s="5"/>
      <c r="O52" s="5"/>
      <c r="P52" s="5"/>
      <c r="Q52" s="5"/>
      <c r="R52" s="5"/>
      <c r="S52" s="156"/>
      <c r="T52" s="156"/>
      <c r="U52" s="5"/>
      <c r="V52" s="5"/>
      <c r="W52" s="5"/>
      <c r="X52" s="5"/>
      <c r="Y52" s="5"/>
      <c r="Z52" s="156"/>
      <c r="AA52" s="156"/>
      <c r="AB52" s="5"/>
      <c r="AC52" s="5"/>
      <c r="AD52" s="5"/>
      <c r="AE52" s="5"/>
      <c r="AF52" s="6"/>
      <c r="AG52" s="49">
        <f t="shared" si="6"/>
        <v>0</v>
      </c>
    </row>
    <row r="53" spans="1:33" ht="27" customHeight="1" thickBot="1" x14ac:dyDescent="0.35">
      <c r="A53" s="30" t="s">
        <v>52</v>
      </c>
      <c r="B53" s="166"/>
      <c r="C53" s="5"/>
      <c r="D53" s="5"/>
      <c r="E53" s="156"/>
      <c r="F53" s="156"/>
      <c r="G53" s="5"/>
      <c r="H53" s="5"/>
      <c r="I53" s="5"/>
      <c r="J53" s="5"/>
      <c r="K53" s="5"/>
      <c r="L53" s="156"/>
      <c r="M53" s="156"/>
      <c r="N53" s="5"/>
      <c r="O53" s="5"/>
      <c r="P53" s="5"/>
      <c r="Q53" s="5"/>
      <c r="R53" s="5"/>
      <c r="S53" s="156"/>
      <c r="T53" s="156"/>
      <c r="U53" s="5"/>
      <c r="V53" s="5"/>
      <c r="W53" s="5"/>
      <c r="X53" s="5"/>
      <c r="Y53" s="5"/>
      <c r="Z53" s="156"/>
      <c r="AA53" s="156"/>
      <c r="AB53" s="5"/>
      <c r="AC53" s="5"/>
      <c r="AD53" s="5"/>
      <c r="AE53" s="5"/>
      <c r="AF53" s="6"/>
      <c r="AG53" s="49">
        <f t="shared" si="6"/>
        <v>0</v>
      </c>
    </row>
    <row r="54" spans="1:33" ht="27" customHeight="1" thickBot="1" x14ac:dyDescent="0.35">
      <c r="A54" s="30" t="s">
        <v>53</v>
      </c>
      <c r="B54" s="166"/>
      <c r="C54" s="5"/>
      <c r="D54" s="5"/>
      <c r="E54" s="156"/>
      <c r="F54" s="156"/>
      <c r="G54" s="5"/>
      <c r="H54" s="5"/>
      <c r="I54" s="5"/>
      <c r="J54" s="5"/>
      <c r="K54" s="5"/>
      <c r="L54" s="156"/>
      <c r="M54" s="156"/>
      <c r="N54" s="5"/>
      <c r="O54" s="5"/>
      <c r="P54" s="5"/>
      <c r="Q54" s="5"/>
      <c r="R54" s="5"/>
      <c r="S54" s="156"/>
      <c r="T54" s="156"/>
      <c r="U54" s="5"/>
      <c r="V54" s="5"/>
      <c r="W54" s="5"/>
      <c r="X54" s="5"/>
      <c r="Y54" s="5"/>
      <c r="Z54" s="156"/>
      <c r="AA54" s="156"/>
      <c r="AB54" s="5"/>
      <c r="AC54" s="5"/>
      <c r="AD54" s="5"/>
      <c r="AE54" s="5"/>
      <c r="AF54" s="6"/>
      <c r="AG54" s="49">
        <f t="shared" si="6"/>
        <v>0</v>
      </c>
    </row>
    <row r="55" spans="1:33" ht="27" customHeight="1" thickBot="1" x14ac:dyDescent="0.35">
      <c r="A55" s="30" t="s">
        <v>54</v>
      </c>
      <c r="B55" s="166"/>
      <c r="C55" s="5"/>
      <c r="D55" s="5"/>
      <c r="E55" s="156"/>
      <c r="F55" s="156"/>
      <c r="G55" s="5"/>
      <c r="H55" s="5"/>
      <c r="I55" s="5"/>
      <c r="J55" s="5"/>
      <c r="K55" s="5"/>
      <c r="L55" s="156"/>
      <c r="M55" s="156"/>
      <c r="N55" s="5"/>
      <c r="O55" s="5"/>
      <c r="P55" s="5"/>
      <c r="Q55" s="5"/>
      <c r="R55" s="5"/>
      <c r="S55" s="156"/>
      <c r="T55" s="156"/>
      <c r="U55" s="5"/>
      <c r="V55" s="5"/>
      <c r="W55" s="5"/>
      <c r="X55" s="5"/>
      <c r="Y55" s="5"/>
      <c r="Z55" s="156"/>
      <c r="AA55" s="156"/>
      <c r="AB55" s="5"/>
      <c r="AC55" s="5"/>
      <c r="AD55" s="5"/>
      <c r="AE55" s="5"/>
      <c r="AF55" s="6"/>
      <c r="AG55" s="49">
        <f t="shared" si="6"/>
        <v>0</v>
      </c>
    </row>
    <row r="56" spans="1:33" ht="27" customHeight="1" thickBot="1" x14ac:dyDescent="0.35">
      <c r="A56" s="30" t="s">
        <v>55</v>
      </c>
      <c r="B56" s="166"/>
      <c r="C56" s="5"/>
      <c r="D56" s="5"/>
      <c r="E56" s="156"/>
      <c r="F56" s="156"/>
      <c r="G56" s="5"/>
      <c r="H56" s="5"/>
      <c r="I56" s="5"/>
      <c r="J56" s="5"/>
      <c r="K56" s="5"/>
      <c r="L56" s="156"/>
      <c r="M56" s="156"/>
      <c r="N56" s="5"/>
      <c r="O56" s="5"/>
      <c r="P56" s="5"/>
      <c r="Q56" s="5"/>
      <c r="R56" s="5"/>
      <c r="S56" s="156"/>
      <c r="T56" s="156"/>
      <c r="U56" s="5"/>
      <c r="V56" s="5"/>
      <c r="W56" s="5"/>
      <c r="X56" s="5"/>
      <c r="Y56" s="5"/>
      <c r="Z56" s="156"/>
      <c r="AA56" s="156"/>
      <c r="AB56" s="5"/>
      <c r="AC56" s="5"/>
      <c r="AD56" s="5"/>
      <c r="AE56" s="5"/>
      <c r="AF56" s="6"/>
      <c r="AG56" s="49">
        <f t="shared" si="6"/>
        <v>0</v>
      </c>
    </row>
    <row r="57" spans="1:33" ht="27" customHeight="1" thickBot="1" x14ac:dyDescent="0.35">
      <c r="A57" s="30" t="s">
        <v>56</v>
      </c>
      <c r="B57" s="166"/>
      <c r="C57" s="5"/>
      <c r="D57" s="5"/>
      <c r="E57" s="156"/>
      <c r="F57" s="156"/>
      <c r="G57" s="5"/>
      <c r="H57" s="5"/>
      <c r="I57" s="5"/>
      <c r="J57" s="5"/>
      <c r="K57" s="5"/>
      <c r="L57" s="156"/>
      <c r="M57" s="156"/>
      <c r="N57" s="5"/>
      <c r="O57" s="5"/>
      <c r="P57" s="5"/>
      <c r="Q57" s="5"/>
      <c r="R57" s="5"/>
      <c r="S57" s="156"/>
      <c r="T57" s="156"/>
      <c r="U57" s="5"/>
      <c r="V57" s="5"/>
      <c r="W57" s="5"/>
      <c r="X57" s="5"/>
      <c r="Y57" s="5"/>
      <c r="Z57" s="156"/>
      <c r="AA57" s="156"/>
      <c r="AB57" s="5"/>
      <c r="AC57" s="5"/>
      <c r="AD57" s="5"/>
      <c r="AE57" s="5"/>
      <c r="AF57" s="6"/>
      <c r="AG57" s="49">
        <f t="shared" si="6"/>
        <v>0</v>
      </c>
    </row>
    <row r="58" spans="1:33" ht="27" customHeight="1" thickBot="1" x14ac:dyDescent="0.35">
      <c r="A58" s="32" t="s">
        <v>57</v>
      </c>
      <c r="B58" s="164"/>
      <c r="C58" s="11"/>
      <c r="D58" s="11"/>
      <c r="E58" s="157"/>
      <c r="F58" s="157"/>
      <c r="G58" s="11"/>
      <c r="H58" s="11"/>
      <c r="I58" s="11"/>
      <c r="J58" s="11"/>
      <c r="K58" s="11"/>
      <c r="L58" s="157"/>
      <c r="M58" s="157"/>
      <c r="N58" s="11"/>
      <c r="O58" s="11"/>
      <c r="P58" s="11"/>
      <c r="Q58" s="11"/>
      <c r="R58" s="11"/>
      <c r="S58" s="157"/>
      <c r="T58" s="157"/>
      <c r="U58" s="11"/>
      <c r="V58" s="11"/>
      <c r="W58" s="11"/>
      <c r="X58" s="11"/>
      <c r="Y58" s="11"/>
      <c r="Z58" s="157"/>
      <c r="AA58" s="157"/>
      <c r="AB58" s="11"/>
      <c r="AC58" s="11"/>
      <c r="AD58" s="11"/>
      <c r="AE58" s="11"/>
      <c r="AF58" s="12"/>
      <c r="AG58" s="49">
        <f t="shared" si="6"/>
        <v>0</v>
      </c>
    </row>
    <row r="59" spans="1:33" ht="27" customHeight="1" thickBot="1" x14ac:dyDescent="0.35">
      <c r="A59" s="141" t="s">
        <v>459</v>
      </c>
      <c r="B59" s="160"/>
      <c r="C59" s="135"/>
      <c r="D59" s="135"/>
      <c r="E59" s="160"/>
      <c r="F59" s="160"/>
      <c r="G59" s="135"/>
      <c r="H59" s="135"/>
      <c r="I59" s="135"/>
      <c r="J59" s="135"/>
      <c r="K59" s="135"/>
      <c r="L59" s="160"/>
      <c r="M59" s="160"/>
      <c r="N59" s="135"/>
      <c r="O59" s="135"/>
      <c r="P59" s="135"/>
      <c r="Q59" s="135"/>
      <c r="R59" s="135"/>
      <c r="S59" s="160"/>
      <c r="T59" s="160"/>
      <c r="U59" s="135"/>
      <c r="V59" s="135"/>
      <c r="W59" s="135"/>
      <c r="X59" s="135"/>
      <c r="Y59" s="135"/>
      <c r="Z59" s="160"/>
      <c r="AA59" s="160"/>
      <c r="AB59" s="135"/>
      <c r="AC59" s="135"/>
      <c r="AD59" s="135"/>
      <c r="AE59" s="135"/>
      <c r="AF59" s="153"/>
      <c r="AG59" s="49">
        <f t="shared" si="6"/>
        <v>0</v>
      </c>
    </row>
    <row r="60" spans="1:33" ht="27" customHeight="1" thickBot="1" x14ac:dyDescent="0.35">
      <c r="A60" s="46" t="s">
        <v>10</v>
      </c>
      <c r="B60" s="76">
        <f>SUM(B47:B59)</f>
        <v>0</v>
      </c>
      <c r="C60" s="76">
        <f t="shared" ref="C60:AF60" si="7">SUM(C47:C59)</f>
        <v>0</v>
      </c>
      <c r="D60" s="76">
        <f t="shared" si="7"/>
        <v>0</v>
      </c>
      <c r="E60" s="76">
        <f t="shared" si="7"/>
        <v>0</v>
      </c>
      <c r="F60" s="76">
        <f t="shared" si="7"/>
        <v>0</v>
      </c>
      <c r="G60" s="76">
        <f t="shared" si="7"/>
        <v>0</v>
      </c>
      <c r="H60" s="76">
        <f t="shared" si="7"/>
        <v>0</v>
      </c>
      <c r="I60" s="76">
        <f t="shared" si="7"/>
        <v>0</v>
      </c>
      <c r="J60" s="76">
        <f t="shared" si="7"/>
        <v>0</v>
      </c>
      <c r="K60" s="76">
        <f t="shared" si="7"/>
        <v>0</v>
      </c>
      <c r="L60" s="76">
        <f t="shared" si="7"/>
        <v>0</v>
      </c>
      <c r="M60" s="76">
        <f t="shared" si="7"/>
        <v>0</v>
      </c>
      <c r="N60" s="76">
        <f t="shared" si="7"/>
        <v>0</v>
      </c>
      <c r="O60" s="76">
        <f t="shared" si="7"/>
        <v>0</v>
      </c>
      <c r="P60" s="76">
        <f t="shared" si="7"/>
        <v>0</v>
      </c>
      <c r="Q60" s="76">
        <f t="shared" si="7"/>
        <v>0</v>
      </c>
      <c r="R60" s="76">
        <f t="shared" si="7"/>
        <v>0</v>
      </c>
      <c r="S60" s="76">
        <f t="shared" si="7"/>
        <v>0</v>
      </c>
      <c r="T60" s="76">
        <f t="shared" si="7"/>
        <v>0</v>
      </c>
      <c r="U60" s="76">
        <f t="shared" si="7"/>
        <v>0</v>
      </c>
      <c r="V60" s="76">
        <f t="shared" si="7"/>
        <v>0</v>
      </c>
      <c r="W60" s="76">
        <f t="shared" si="7"/>
        <v>0</v>
      </c>
      <c r="X60" s="76">
        <f t="shared" si="7"/>
        <v>0</v>
      </c>
      <c r="Y60" s="76">
        <f t="shared" si="7"/>
        <v>0</v>
      </c>
      <c r="Z60" s="76">
        <f t="shared" si="7"/>
        <v>0</v>
      </c>
      <c r="AA60" s="76">
        <f t="shared" si="7"/>
        <v>0</v>
      </c>
      <c r="AB60" s="76">
        <f t="shared" si="7"/>
        <v>0</v>
      </c>
      <c r="AC60" s="76">
        <f t="shared" si="7"/>
        <v>0</v>
      </c>
      <c r="AD60" s="76">
        <f t="shared" si="7"/>
        <v>0</v>
      </c>
      <c r="AE60" s="76">
        <f t="shared" si="7"/>
        <v>0</v>
      </c>
      <c r="AF60" s="76">
        <f t="shared" si="7"/>
        <v>0</v>
      </c>
      <c r="AG60" s="44">
        <f>SUM(B60:AF60)</f>
        <v>0</v>
      </c>
    </row>
    <row r="61" spans="1:33" ht="27" customHeight="1" thickBot="1" x14ac:dyDescent="0.3">
      <c r="A61" s="279" t="s">
        <v>324</v>
      </c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  <c r="AG61" s="278"/>
    </row>
    <row r="62" spans="1:33" ht="27" customHeight="1" thickBot="1" x14ac:dyDescent="0.35">
      <c r="A62" s="129" t="s">
        <v>36</v>
      </c>
      <c r="B62" s="173"/>
      <c r="C62" s="17"/>
      <c r="D62" s="17"/>
      <c r="E62" s="155"/>
      <c r="F62" s="155"/>
      <c r="G62" s="17"/>
      <c r="H62" s="17"/>
      <c r="I62" s="17"/>
      <c r="J62" s="17"/>
      <c r="K62" s="17"/>
      <c r="L62" s="155"/>
      <c r="M62" s="155"/>
      <c r="N62" s="17"/>
      <c r="O62" s="17"/>
      <c r="P62" s="17"/>
      <c r="Q62" s="17"/>
      <c r="R62" s="17"/>
      <c r="S62" s="155"/>
      <c r="T62" s="155"/>
      <c r="U62" s="17"/>
      <c r="V62" s="17"/>
      <c r="W62" s="17"/>
      <c r="X62" s="17"/>
      <c r="Y62" s="17"/>
      <c r="Z62" s="155"/>
      <c r="AA62" s="155"/>
      <c r="AB62" s="17"/>
      <c r="AC62" s="17"/>
      <c r="AD62" s="17"/>
      <c r="AE62" s="17"/>
      <c r="AF62" s="18"/>
      <c r="AG62" s="44">
        <f>SUM(B62:AF62)</f>
        <v>0</v>
      </c>
    </row>
    <row r="63" spans="1:33" ht="27" customHeight="1" thickBot="1" x14ac:dyDescent="0.35">
      <c r="A63" s="30" t="s">
        <v>37</v>
      </c>
      <c r="B63" s="166"/>
      <c r="C63" s="5"/>
      <c r="D63" s="5"/>
      <c r="E63" s="156"/>
      <c r="F63" s="156"/>
      <c r="G63" s="5"/>
      <c r="H63" s="5"/>
      <c r="I63" s="5"/>
      <c r="J63" s="5"/>
      <c r="K63" s="5"/>
      <c r="L63" s="156"/>
      <c r="M63" s="156"/>
      <c r="N63" s="5"/>
      <c r="O63" s="5"/>
      <c r="P63" s="5"/>
      <c r="Q63" s="5"/>
      <c r="R63" s="5"/>
      <c r="S63" s="156"/>
      <c r="T63" s="156"/>
      <c r="U63" s="5"/>
      <c r="V63" s="5"/>
      <c r="W63" s="5"/>
      <c r="X63" s="5"/>
      <c r="Y63" s="5"/>
      <c r="Z63" s="156"/>
      <c r="AA63" s="156"/>
      <c r="AB63" s="5"/>
      <c r="AC63" s="5"/>
      <c r="AD63" s="5"/>
      <c r="AE63" s="5"/>
      <c r="AF63" s="6"/>
      <c r="AG63" s="44">
        <f t="shared" ref="AG63:AG78" si="8">SUM(B63:AF63)</f>
        <v>0</v>
      </c>
    </row>
    <row r="64" spans="1:33" ht="27" customHeight="1" thickBot="1" x14ac:dyDescent="0.35">
      <c r="A64" s="30" t="s">
        <v>45</v>
      </c>
      <c r="B64" s="166"/>
      <c r="C64" s="5"/>
      <c r="D64" s="5"/>
      <c r="E64" s="156"/>
      <c r="F64" s="156"/>
      <c r="G64" s="5"/>
      <c r="H64" s="5"/>
      <c r="I64" s="5"/>
      <c r="J64" s="5"/>
      <c r="K64" s="5"/>
      <c r="L64" s="156"/>
      <c r="M64" s="156"/>
      <c r="N64" s="5"/>
      <c r="O64" s="5"/>
      <c r="P64" s="5"/>
      <c r="Q64" s="5"/>
      <c r="R64" s="5"/>
      <c r="S64" s="156"/>
      <c r="T64" s="156"/>
      <c r="U64" s="5"/>
      <c r="V64" s="5"/>
      <c r="W64" s="5"/>
      <c r="X64" s="5"/>
      <c r="Y64" s="5"/>
      <c r="Z64" s="156"/>
      <c r="AA64" s="156"/>
      <c r="AB64" s="5"/>
      <c r="AC64" s="5"/>
      <c r="AD64" s="5"/>
      <c r="AE64" s="5"/>
      <c r="AF64" s="6"/>
      <c r="AG64" s="44">
        <f t="shared" si="8"/>
        <v>0</v>
      </c>
    </row>
    <row r="65" spans="1:33" ht="27" customHeight="1" thickBot="1" x14ac:dyDescent="0.35">
      <c r="A65" s="30" t="s">
        <v>38</v>
      </c>
      <c r="B65" s="166"/>
      <c r="C65" s="5"/>
      <c r="D65" s="5"/>
      <c r="E65" s="156"/>
      <c r="F65" s="156"/>
      <c r="G65" s="5"/>
      <c r="H65" s="5"/>
      <c r="I65" s="5"/>
      <c r="J65" s="5"/>
      <c r="K65" s="5"/>
      <c r="L65" s="156"/>
      <c r="M65" s="156"/>
      <c r="N65" s="5"/>
      <c r="O65" s="5"/>
      <c r="P65" s="5"/>
      <c r="Q65" s="5"/>
      <c r="R65" s="5"/>
      <c r="S65" s="156"/>
      <c r="T65" s="156"/>
      <c r="U65" s="5"/>
      <c r="V65" s="5"/>
      <c r="W65" s="5"/>
      <c r="X65" s="5"/>
      <c r="Y65" s="5"/>
      <c r="Z65" s="156"/>
      <c r="AA65" s="156"/>
      <c r="AB65" s="5"/>
      <c r="AC65" s="5"/>
      <c r="AD65" s="5"/>
      <c r="AE65" s="5"/>
      <c r="AF65" s="6"/>
      <c r="AG65" s="44">
        <f t="shared" si="8"/>
        <v>0</v>
      </c>
    </row>
    <row r="66" spans="1:33" ht="27" customHeight="1" thickBot="1" x14ac:dyDescent="0.35">
      <c r="A66" s="30" t="s">
        <v>472</v>
      </c>
      <c r="B66" s="166"/>
      <c r="C66" s="5"/>
      <c r="D66" s="5"/>
      <c r="E66" s="156"/>
      <c r="F66" s="156"/>
      <c r="G66" s="5"/>
      <c r="H66" s="5"/>
      <c r="I66" s="5"/>
      <c r="J66" s="5"/>
      <c r="K66" s="5"/>
      <c r="L66" s="156"/>
      <c r="M66" s="156"/>
      <c r="N66" s="5"/>
      <c r="O66" s="5"/>
      <c r="P66" s="5"/>
      <c r="Q66" s="5"/>
      <c r="R66" s="5"/>
      <c r="S66" s="156"/>
      <c r="T66" s="156"/>
      <c r="U66" s="5"/>
      <c r="V66" s="5"/>
      <c r="W66" s="5"/>
      <c r="X66" s="5"/>
      <c r="Y66" s="5"/>
      <c r="Z66" s="156"/>
      <c r="AA66" s="156"/>
      <c r="AB66" s="5"/>
      <c r="AC66" s="5"/>
      <c r="AD66" s="5"/>
      <c r="AE66" s="5"/>
      <c r="AF66" s="6"/>
      <c r="AG66" s="44">
        <f t="shared" si="8"/>
        <v>0</v>
      </c>
    </row>
    <row r="67" spans="1:33" ht="27" customHeight="1" thickBot="1" x14ac:dyDescent="0.35">
      <c r="A67" s="30" t="s">
        <v>464</v>
      </c>
      <c r="B67" s="166"/>
      <c r="C67" s="5"/>
      <c r="D67" s="5"/>
      <c r="E67" s="156"/>
      <c r="F67" s="156"/>
      <c r="G67" s="5"/>
      <c r="H67" s="5"/>
      <c r="I67" s="5"/>
      <c r="J67" s="5"/>
      <c r="K67" s="5"/>
      <c r="L67" s="156"/>
      <c r="M67" s="156"/>
      <c r="N67" s="5"/>
      <c r="O67" s="5"/>
      <c r="P67" s="5"/>
      <c r="Q67" s="5"/>
      <c r="R67" s="5"/>
      <c r="S67" s="156"/>
      <c r="T67" s="156"/>
      <c r="U67" s="5"/>
      <c r="V67" s="5"/>
      <c r="W67" s="5"/>
      <c r="X67" s="5"/>
      <c r="Y67" s="5"/>
      <c r="Z67" s="156"/>
      <c r="AA67" s="156"/>
      <c r="AB67" s="5"/>
      <c r="AC67" s="5"/>
      <c r="AD67" s="5"/>
      <c r="AE67" s="5"/>
      <c r="AF67" s="6"/>
      <c r="AG67" s="44">
        <f t="shared" si="8"/>
        <v>0</v>
      </c>
    </row>
    <row r="68" spans="1:33" ht="27" customHeight="1" thickBot="1" x14ac:dyDescent="0.35">
      <c r="A68" s="30" t="s">
        <v>40</v>
      </c>
      <c r="B68" s="166"/>
      <c r="C68" s="5"/>
      <c r="D68" s="5"/>
      <c r="E68" s="156"/>
      <c r="F68" s="156"/>
      <c r="G68" s="5"/>
      <c r="H68" s="5"/>
      <c r="I68" s="5"/>
      <c r="J68" s="5"/>
      <c r="K68" s="5"/>
      <c r="L68" s="156"/>
      <c r="M68" s="156"/>
      <c r="N68" s="5"/>
      <c r="O68" s="5"/>
      <c r="P68" s="5"/>
      <c r="Q68" s="5"/>
      <c r="R68" s="5"/>
      <c r="S68" s="156"/>
      <c r="T68" s="156"/>
      <c r="U68" s="5"/>
      <c r="V68" s="5"/>
      <c r="W68" s="5"/>
      <c r="X68" s="5"/>
      <c r="Y68" s="5"/>
      <c r="Z68" s="156"/>
      <c r="AA68" s="156"/>
      <c r="AB68" s="5"/>
      <c r="AC68" s="5"/>
      <c r="AD68" s="5"/>
      <c r="AE68" s="5"/>
      <c r="AF68" s="6"/>
      <c r="AG68" s="44">
        <f t="shared" si="8"/>
        <v>0</v>
      </c>
    </row>
    <row r="69" spans="1:33" ht="27" customHeight="1" thickBot="1" x14ac:dyDescent="0.35">
      <c r="A69" s="30" t="s">
        <v>463</v>
      </c>
      <c r="B69" s="166"/>
      <c r="C69" s="5"/>
      <c r="D69" s="5"/>
      <c r="E69" s="156"/>
      <c r="F69" s="156"/>
      <c r="G69" s="5"/>
      <c r="H69" s="5"/>
      <c r="I69" s="5"/>
      <c r="J69" s="5"/>
      <c r="K69" s="5"/>
      <c r="L69" s="156"/>
      <c r="M69" s="156"/>
      <c r="N69" s="5"/>
      <c r="O69" s="5"/>
      <c r="P69" s="5"/>
      <c r="Q69" s="5"/>
      <c r="R69" s="5"/>
      <c r="S69" s="156"/>
      <c r="T69" s="156"/>
      <c r="U69" s="5"/>
      <c r="V69" s="5"/>
      <c r="W69" s="5"/>
      <c r="X69" s="5"/>
      <c r="Y69" s="5"/>
      <c r="Z69" s="156"/>
      <c r="AA69" s="156"/>
      <c r="AB69" s="5"/>
      <c r="AC69" s="5"/>
      <c r="AD69" s="5"/>
      <c r="AE69" s="5"/>
      <c r="AF69" s="6"/>
      <c r="AG69" s="44">
        <f t="shared" si="8"/>
        <v>0</v>
      </c>
    </row>
    <row r="70" spans="1:33" ht="27" customHeight="1" thickBot="1" x14ac:dyDescent="0.35">
      <c r="A70" s="30" t="s">
        <v>42</v>
      </c>
      <c r="B70" s="166"/>
      <c r="C70" s="5"/>
      <c r="D70" s="5"/>
      <c r="E70" s="156"/>
      <c r="F70" s="156"/>
      <c r="G70" s="5"/>
      <c r="H70" s="5"/>
      <c r="I70" s="5"/>
      <c r="J70" s="5"/>
      <c r="K70" s="5"/>
      <c r="L70" s="156"/>
      <c r="M70" s="156"/>
      <c r="N70" s="5"/>
      <c r="O70" s="5"/>
      <c r="P70" s="5"/>
      <c r="Q70" s="5"/>
      <c r="R70" s="5"/>
      <c r="S70" s="156"/>
      <c r="T70" s="156"/>
      <c r="U70" s="5"/>
      <c r="V70" s="5"/>
      <c r="W70" s="5"/>
      <c r="X70" s="5"/>
      <c r="Y70" s="5"/>
      <c r="Z70" s="156"/>
      <c r="AA70" s="156"/>
      <c r="AB70" s="5"/>
      <c r="AC70" s="5"/>
      <c r="AD70" s="5"/>
      <c r="AE70" s="5"/>
      <c r="AF70" s="6"/>
      <c r="AG70" s="44">
        <f t="shared" si="8"/>
        <v>0</v>
      </c>
    </row>
    <row r="71" spans="1:33" ht="27" customHeight="1" thickBot="1" x14ac:dyDescent="0.35">
      <c r="A71" s="30" t="s">
        <v>473</v>
      </c>
      <c r="B71" s="166"/>
      <c r="C71" s="5"/>
      <c r="D71" s="5"/>
      <c r="E71" s="156"/>
      <c r="F71" s="156"/>
      <c r="G71" s="5"/>
      <c r="H71" s="5"/>
      <c r="I71" s="5"/>
      <c r="J71" s="5"/>
      <c r="K71" s="5"/>
      <c r="L71" s="156"/>
      <c r="M71" s="156"/>
      <c r="N71" s="5"/>
      <c r="O71" s="5"/>
      <c r="P71" s="5"/>
      <c r="Q71" s="5"/>
      <c r="R71" s="5"/>
      <c r="S71" s="156"/>
      <c r="T71" s="156"/>
      <c r="U71" s="5"/>
      <c r="V71" s="5"/>
      <c r="W71" s="5"/>
      <c r="X71" s="5"/>
      <c r="Y71" s="5"/>
      <c r="Z71" s="156"/>
      <c r="AA71" s="156"/>
      <c r="AB71" s="5"/>
      <c r="AC71" s="5"/>
      <c r="AD71" s="5"/>
      <c r="AE71" s="5"/>
      <c r="AF71" s="6"/>
      <c r="AG71" s="44">
        <f t="shared" si="8"/>
        <v>0</v>
      </c>
    </row>
    <row r="72" spans="1:33" ht="27" customHeight="1" thickBot="1" x14ac:dyDescent="0.35">
      <c r="A72" s="30" t="s">
        <v>451</v>
      </c>
      <c r="B72" s="166"/>
      <c r="C72" s="5"/>
      <c r="D72" s="5"/>
      <c r="E72" s="156"/>
      <c r="F72" s="156"/>
      <c r="G72" s="5"/>
      <c r="H72" s="5"/>
      <c r="I72" s="5"/>
      <c r="J72" s="5"/>
      <c r="K72" s="5"/>
      <c r="L72" s="156"/>
      <c r="M72" s="156"/>
      <c r="N72" s="5"/>
      <c r="O72" s="5"/>
      <c r="P72" s="5"/>
      <c r="Q72" s="5"/>
      <c r="R72" s="5"/>
      <c r="S72" s="156"/>
      <c r="T72" s="156"/>
      <c r="U72" s="5"/>
      <c r="V72" s="5"/>
      <c r="W72" s="5"/>
      <c r="X72" s="5"/>
      <c r="Y72" s="5"/>
      <c r="Z72" s="156"/>
      <c r="AA72" s="156"/>
      <c r="AB72" s="5"/>
      <c r="AC72" s="5"/>
      <c r="AD72" s="5"/>
      <c r="AE72" s="5"/>
      <c r="AF72" s="6"/>
      <c r="AG72" s="44">
        <f t="shared" si="8"/>
        <v>0</v>
      </c>
    </row>
    <row r="73" spans="1:33" ht="27" customHeight="1" thickBot="1" x14ac:dyDescent="0.35">
      <c r="A73" s="30" t="s">
        <v>43</v>
      </c>
      <c r="B73" s="166"/>
      <c r="C73" s="5"/>
      <c r="D73" s="5"/>
      <c r="E73" s="156"/>
      <c r="F73" s="156"/>
      <c r="G73" s="5"/>
      <c r="H73" s="5"/>
      <c r="I73" s="5"/>
      <c r="J73" s="5"/>
      <c r="K73" s="5"/>
      <c r="L73" s="156"/>
      <c r="M73" s="156"/>
      <c r="N73" s="5"/>
      <c r="O73" s="5"/>
      <c r="P73" s="5"/>
      <c r="Q73" s="5"/>
      <c r="R73" s="5"/>
      <c r="S73" s="156"/>
      <c r="T73" s="156"/>
      <c r="U73" s="5"/>
      <c r="V73" s="5"/>
      <c r="W73" s="5"/>
      <c r="X73" s="5"/>
      <c r="Y73" s="5"/>
      <c r="Z73" s="156"/>
      <c r="AA73" s="156"/>
      <c r="AB73" s="5"/>
      <c r="AC73" s="5"/>
      <c r="AD73" s="5"/>
      <c r="AE73" s="5"/>
      <c r="AF73" s="6"/>
      <c r="AG73" s="44">
        <f t="shared" si="8"/>
        <v>0</v>
      </c>
    </row>
    <row r="74" spans="1:33" ht="27" customHeight="1" thickBot="1" x14ac:dyDescent="0.35">
      <c r="A74" s="30" t="s">
        <v>447</v>
      </c>
      <c r="B74" s="166"/>
      <c r="C74" s="5"/>
      <c r="D74" s="5"/>
      <c r="E74" s="156"/>
      <c r="F74" s="156"/>
      <c r="G74" s="5"/>
      <c r="H74" s="5"/>
      <c r="I74" s="5"/>
      <c r="J74" s="5"/>
      <c r="K74" s="5"/>
      <c r="L74" s="156"/>
      <c r="M74" s="156"/>
      <c r="N74" s="5"/>
      <c r="O74" s="5"/>
      <c r="P74" s="5"/>
      <c r="Q74" s="5"/>
      <c r="R74" s="5"/>
      <c r="S74" s="156"/>
      <c r="T74" s="156"/>
      <c r="U74" s="5"/>
      <c r="V74" s="5"/>
      <c r="W74" s="5"/>
      <c r="X74" s="5"/>
      <c r="Y74" s="5"/>
      <c r="Z74" s="156"/>
      <c r="AA74" s="156"/>
      <c r="AB74" s="5"/>
      <c r="AC74" s="5"/>
      <c r="AD74" s="5"/>
      <c r="AE74" s="5"/>
      <c r="AF74" s="6"/>
      <c r="AG74" s="44">
        <f t="shared" si="8"/>
        <v>0</v>
      </c>
    </row>
    <row r="75" spans="1:33" ht="27" customHeight="1" thickBot="1" x14ac:dyDescent="0.35">
      <c r="A75" s="30" t="s">
        <v>475</v>
      </c>
      <c r="B75" s="166"/>
      <c r="C75" s="5"/>
      <c r="D75" s="5"/>
      <c r="E75" s="156"/>
      <c r="F75" s="156"/>
      <c r="G75" s="5"/>
      <c r="H75" s="5"/>
      <c r="I75" s="5"/>
      <c r="J75" s="5"/>
      <c r="K75" s="5"/>
      <c r="L75" s="156"/>
      <c r="M75" s="156"/>
      <c r="N75" s="5"/>
      <c r="O75" s="5"/>
      <c r="P75" s="5"/>
      <c r="Q75" s="5"/>
      <c r="R75" s="5"/>
      <c r="S75" s="156"/>
      <c r="T75" s="156"/>
      <c r="U75" s="5"/>
      <c r="V75" s="5"/>
      <c r="W75" s="5"/>
      <c r="X75" s="5"/>
      <c r="Y75" s="5"/>
      <c r="Z75" s="156"/>
      <c r="AA75" s="156"/>
      <c r="AB75" s="5"/>
      <c r="AC75" s="5"/>
      <c r="AD75" s="5"/>
      <c r="AE75" s="5"/>
      <c r="AF75" s="6"/>
      <c r="AG75" s="44">
        <f t="shared" si="8"/>
        <v>0</v>
      </c>
    </row>
    <row r="76" spans="1:33" ht="27" customHeight="1" thickBot="1" x14ac:dyDescent="0.35">
      <c r="A76" s="30" t="s">
        <v>41</v>
      </c>
      <c r="B76" s="166"/>
      <c r="C76" s="5"/>
      <c r="D76" s="5"/>
      <c r="E76" s="156"/>
      <c r="F76" s="156"/>
      <c r="G76" s="5"/>
      <c r="H76" s="5"/>
      <c r="I76" s="5"/>
      <c r="J76" s="5"/>
      <c r="K76" s="5"/>
      <c r="L76" s="156"/>
      <c r="M76" s="156"/>
      <c r="N76" s="5"/>
      <c r="O76" s="5"/>
      <c r="P76" s="5"/>
      <c r="Q76" s="5"/>
      <c r="R76" s="5"/>
      <c r="S76" s="156"/>
      <c r="T76" s="156"/>
      <c r="U76" s="5"/>
      <c r="V76" s="5"/>
      <c r="W76" s="5"/>
      <c r="X76" s="5"/>
      <c r="Y76" s="5"/>
      <c r="Z76" s="156"/>
      <c r="AA76" s="156"/>
      <c r="AB76" s="5"/>
      <c r="AC76" s="5"/>
      <c r="AD76" s="5"/>
      <c r="AE76" s="5"/>
      <c r="AF76" s="6"/>
      <c r="AG76" s="44">
        <f t="shared" si="8"/>
        <v>0</v>
      </c>
    </row>
    <row r="77" spans="1:33" ht="27" customHeight="1" thickBot="1" x14ac:dyDescent="0.35">
      <c r="A77" s="30" t="s">
        <v>44</v>
      </c>
      <c r="B77" s="164"/>
      <c r="C77" s="11"/>
      <c r="D77" s="11"/>
      <c r="E77" s="157"/>
      <c r="F77" s="157"/>
      <c r="G77" s="11"/>
      <c r="H77" s="11"/>
      <c r="I77" s="11"/>
      <c r="J77" s="11"/>
      <c r="K77" s="11"/>
      <c r="L77" s="157"/>
      <c r="M77" s="157"/>
      <c r="N77" s="11"/>
      <c r="O77" s="11"/>
      <c r="P77" s="11"/>
      <c r="Q77" s="11"/>
      <c r="R77" s="11"/>
      <c r="S77" s="157"/>
      <c r="T77" s="157"/>
      <c r="U77" s="11"/>
      <c r="V77" s="11"/>
      <c r="W77" s="11"/>
      <c r="X77" s="11"/>
      <c r="Y77" s="11"/>
      <c r="Z77" s="157"/>
      <c r="AA77" s="157"/>
      <c r="AB77" s="11"/>
      <c r="AC77" s="11"/>
      <c r="AD77" s="11"/>
      <c r="AE77" s="11"/>
      <c r="AF77" s="12"/>
      <c r="AG77" s="44">
        <f t="shared" si="8"/>
        <v>0</v>
      </c>
    </row>
    <row r="78" spans="1:33" ht="27" customHeight="1" thickBot="1" x14ac:dyDescent="0.35">
      <c r="A78" s="32" t="s">
        <v>432</v>
      </c>
      <c r="B78" s="164"/>
      <c r="C78" s="11"/>
      <c r="D78" s="11"/>
      <c r="E78" s="157"/>
      <c r="F78" s="157"/>
      <c r="G78" s="11"/>
      <c r="H78" s="11"/>
      <c r="I78" s="11"/>
      <c r="J78" s="11"/>
      <c r="K78" s="11"/>
      <c r="L78" s="157"/>
      <c r="M78" s="157"/>
      <c r="N78" s="11"/>
      <c r="O78" s="11"/>
      <c r="P78" s="11"/>
      <c r="Q78" s="11"/>
      <c r="R78" s="11"/>
      <c r="S78" s="157"/>
      <c r="T78" s="157"/>
      <c r="U78" s="11"/>
      <c r="V78" s="11"/>
      <c r="W78" s="11"/>
      <c r="X78" s="11"/>
      <c r="Y78" s="11"/>
      <c r="Z78" s="157"/>
      <c r="AA78" s="157"/>
      <c r="AB78" s="11"/>
      <c r="AC78" s="11"/>
      <c r="AD78" s="11"/>
      <c r="AE78" s="11"/>
      <c r="AF78" s="12"/>
      <c r="AG78" s="44">
        <f t="shared" si="8"/>
        <v>0</v>
      </c>
    </row>
    <row r="79" spans="1:33" ht="27" customHeight="1" thickBot="1" x14ac:dyDescent="0.35">
      <c r="A79" s="46" t="s">
        <v>10</v>
      </c>
      <c r="B79" s="159">
        <f>SUM(B62:B78)</f>
        <v>0</v>
      </c>
      <c r="C79" s="159">
        <f t="shared" ref="C79:AF79" si="9">SUM(C62:C78)</f>
        <v>0</v>
      </c>
      <c r="D79" s="159">
        <f t="shared" si="9"/>
        <v>0</v>
      </c>
      <c r="E79" s="159">
        <f t="shared" si="9"/>
        <v>0</v>
      </c>
      <c r="F79" s="159">
        <f t="shared" si="9"/>
        <v>0</v>
      </c>
      <c r="G79" s="159">
        <f t="shared" si="9"/>
        <v>0</v>
      </c>
      <c r="H79" s="159">
        <f t="shared" si="9"/>
        <v>0</v>
      </c>
      <c r="I79" s="159">
        <f t="shared" si="9"/>
        <v>0</v>
      </c>
      <c r="J79" s="159">
        <f t="shared" si="9"/>
        <v>0</v>
      </c>
      <c r="K79" s="159">
        <f t="shared" si="9"/>
        <v>0</v>
      </c>
      <c r="L79" s="159">
        <f t="shared" si="9"/>
        <v>0</v>
      </c>
      <c r="M79" s="159">
        <f t="shared" si="9"/>
        <v>0</v>
      </c>
      <c r="N79" s="159">
        <f t="shared" si="9"/>
        <v>0</v>
      </c>
      <c r="O79" s="159">
        <f t="shared" si="9"/>
        <v>0</v>
      </c>
      <c r="P79" s="159">
        <f t="shared" si="9"/>
        <v>0</v>
      </c>
      <c r="Q79" s="159">
        <f t="shared" si="9"/>
        <v>0</v>
      </c>
      <c r="R79" s="159">
        <f t="shared" si="9"/>
        <v>0</v>
      </c>
      <c r="S79" s="159">
        <f t="shared" si="9"/>
        <v>0</v>
      </c>
      <c r="T79" s="159">
        <f t="shared" si="9"/>
        <v>0</v>
      </c>
      <c r="U79" s="159">
        <f t="shared" si="9"/>
        <v>0</v>
      </c>
      <c r="V79" s="159">
        <f t="shared" si="9"/>
        <v>0</v>
      </c>
      <c r="W79" s="159">
        <f t="shared" si="9"/>
        <v>0</v>
      </c>
      <c r="X79" s="159">
        <f t="shared" si="9"/>
        <v>0</v>
      </c>
      <c r="Y79" s="159">
        <f t="shared" si="9"/>
        <v>0</v>
      </c>
      <c r="Z79" s="159">
        <f t="shared" si="9"/>
        <v>0</v>
      </c>
      <c r="AA79" s="159">
        <f t="shared" si="9"/>
        <v>0</v>
      </c>
      <c r="AB79" s="159">
        <f t="shared" si="9"/>
        <v>0</v>
      </c>
      <c r="AC79" s="159">
        <f t="shared" si="9"/>
        <v>0</v>
      </c>
      <c r="AD79" s="159">
        <f t="shared" si="9"/>
        <v>0</v>
      </c>
      <c r="AE79" s="159">
        <f t="shared" si="9"/>
        <v>0</v>
      </c>
      <c r="AF79" s="159">
        <f t="shared" si="9"/>
        <v>0</v>
      </c>
      <c r="AG79" s="44">
        <f>SUM(AG62:AG78)</f>
        <v>0</v>
      </c>
    </row>
    <row r="80" spans="1:33" ht="27" customHeight="1" thickBot="1" x14ac:dyDescent="0.3">
      <c r="A80" s="273" t="s">
        <v>325</v>
      </c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8"/>
    </row>
    <row r="81" spans="1:33" ht="27" customHeight="1" thickBot="1" x14ac:dyDescent="0.35">
      <c r="A81" s="27" t="s">
        <v>58</v>
      </c>
      <c r="B81" s="173"/>
      <c r="C81" s="17"/>
      <c r="D81" s="17"/>
      <c r="E81" s="155"/>
      <c r="F81" s="155"/>
      <c r="G81" s="17"/>
      <c r="H81" s="17"/>
      <c r="I81" s="17"/>
      <c r="J81" s="17"/>
      <c r="K81" s="17"/>
      <c r="L81" s="155"/>
      <c r="M81" s="155"/>
      <c r="N81" s="17"/>
      <c r="O81" s="17"/>
      <c r="P81" s="17"/>
      <c r="Q81" s="17"/>
      <c r="R81" s="17"/>
      <c r="S81" s="155"/>
      <c r="T81" s="155"/>
      <c r="U81" s="17"/>
      <c r="V81" s="17"/>
      <c r="W81" s="17"/>
      <c r="X81" s="17"/>
      <c r="Y81" s="17"/>
      <c r="Z81" s="155"/>
      <c r="AA81" s="155"/>
      <c r="AB81" s="17"/>
      <c r="AC81" s="17"/>
      <c r="AD81" s="17"/>
      <c r="AE81" s="17"/>
      <c r="AF81" s="18"/>
      <c r="AG81" s="49">
        <f>SUM(B81:AF81)</f>
        <v>0</v>
      </c>
    </row>
    <row r="82" spans="1:33" ht="27" customHeight="1" thickBot="1" x14ac:dyDescent="0.35">
      <c r="A82" s="30" t="s">
        <v>65</v>
      </c>
      <c r="B82" s="166"/>
      <c r="C82" s="5"/>
      <c r="D82" s="5"/>
      <c r="E82" s="156"/>
      <c r="F82" s="156"/>
      <c r="G82" s="5"/>
      <c r="H82" s="5"/>
      <c r="I82" s="5"/>
      <c r="J82" s="5"/>
      <c r="K82" s="5"/>
      <c r="L82" s="156"/>
      <c r="M82" s="156"/>
      <c r="N82" s="5"/>
      <c r="O82" s="5"/>
      <c r="P82" s="5"/>
      <c r="Q82" s="5"/>
      <c r="R82" s="5"/>
      <c r="S82" s="156"/>
      <c r="T82" s="156"/>
      <c r="U82" s="5"/>
      <c r="V82" s="5"/>
      <c r="W82" s="5"/>
      <c r="X82" s="5"/>
      <c r="Y82" s="5"/>
      <c r="Z82" s="156"/>
      <c r="AA82" s="156"/>
      <c r="AB82" s="5"/>
      <c r="AC82" s="5"/>
      <c r="AD82" s="5"/>
      <c r="AE82" s="5"/>
      <c r="AF82" s="6"/>
      <c r="AG82" s="49">
        <f t="shared" ref="AG82:AG89" si="10">SUM(B82:AF82)</f>
        <v>0</v>
      </c>
    </row>
    <row r="83" spans="1:33" ht="27" customHeight="1" thickBot="1" x14ac:dyDescent="0.35">
      <c r="A83" s="30" t="s">
        <v>61</v>
      </c>
      <c r="B83" s="166"/>
      <c r="C83" s="5">
        <v>2</v>
      </c>
      <c r="D83" s="5">
        <v>2</v>
      </c>
      <c r="E83" s="156">
        <v>2</v>
      </c>
      <c r="F83" s="156">
        <v>2</v>
      </c>
      <c r="G83" s="5">
        <v>2</v>
      </c>
      <c r="H83" s="5"/>
      <c r="I83" s="5"/>
      <c r="J83" s="5">
        <v>2</v>
      </c>
      <c r="K83" s="5">
        <v>2</v>
      </c>
      <c r="L83" s="156">
        <v>2</v>
      </c>
      <c r="M83" s="156">
        <v>2</v>
      </c>
      <c r="N83" s="5">
        <v>2</v>
      </c>
      <c r="O83" s="5"/>
      <c r="P83" s="5"/>
      <c r="Q83" s="5">
        <v>2</v>
      </c>
      <c r="R83" s="5">
        <v>2</v>
      </c>
      <c r="S83" s="156">
        <v>2</v>
      </c>
      <c r="T83" s="156">
        <v>2</v>
      </c>
      <c r="U83" s="5">
        <v>2</v>
      </c>
      <c r="V83" s="5"/>
      <c r="W83" s="5"/>
      <c r="X83" s="5"/>
      <c r="Y83" s="5"/>
      <c r="Z83" s="156"/>
      <c r="AA83" s="156"/>
      <c r="AB83" s="5"/>
      <c r="AC83" s="5"/>
      <c r="AD83" s="5"/>
      <c r="AE83" s="5"/>
      <c r="AF83" s="6"/>
      <c r="AG83" s="49">
        <f t="shared" si="10"/>
        <v>30</v>
      </c>
    </row>
    <row r="84" spans="1:33" ht="27" customHeight="1" thickBot="1" x14ac:dyDescent="0.35">
      <c r="A84" s="30" t="s">
        <v>60</v>
      </c>
      <c r="B84" s="166"/>
      <c r="C84" s="5"/>
      <c r="D84" s="5"/>
      <c r="E84" s="156"/>
      <c r="F84" s="156"/>
      <c r="G84" s="5"/>
      <c r="H84" s="5"/>
      <c r="I84" s="5"/>
      <c r="J84" s="5"/>
      <c r="K84" s="5"/>
      <c r="L84" s="156"/>
      <c r="M84" s="156"/>
      <c r="N84" s="5"/>
      <c r="O84" s="5"/>
      <c r="P84" s="5"/>
      <c r="Q84" s="5"/>
      <c r="R84" s="5"/>
      <c r="S84" s="156"/>
      <c r="T84" s="156"/>
      <c r="U84" s="5"/>
      <c r="V84" s="5"/>
      <c r="W84" s="5"/>
      <c r="X84" s="5"/>
      <c r="Y84" s="5"/>
      <c r="Z84" s="156"/>
      <c r="AA84" s="156"/>
      <c r="AB84" s="5"/>
      <c r="AC84" s="5"/>
      <c r="AD84" s="5"/>
      <c r="AE84" s="5"/>
      <c r="AF84" s="6"/>
      <c r="AG84" s="49">
        <f t="shared" si="10"/>
        <v>0</v>
      </c>
    </row>
    <row r="85" spans="1:33" ht="27" customHeight="1" thickBot="1" x14ac:dyDescent="0.35">
      <c r="A85" s="30" t="s">
        <v>62</v>
      </c>
      <c r="B85" s="166"/>
      <c r="C85" s="5"/>
      <c r="D85" s="5"/>
      <c r="E85" s="156"/>
      <c r="F85" s="156"/>
      <c r="G85" s="5"/>
      <c r="H85" s="5"/>
      <c r="I85" s="5"/>
      <c r="J85" s="5"/>
      <c r="K85" s="5"/>
      <c r="L85" s="156"/>
      <c r="M85" s="156"/>
      <c r="N85" s="5"/>
      <c r="O85" s="5"/>
      <c r="P85" s="5"/>
      <c r="Q85" s="5"/>
      <c r="R85" s="5"/>
      <c r="S85" s="156"/>
      <c r="T85" s="156"/>
      <c r="U85" s="5"/>
      <c r="V85" s="5"/>
      <c r="W85" s="5"/>
      <c r="X85" s="5"/>
      <c r="Y85" s="5"/>
      <c r="Z85" s="156"/>
      <c r="AA85" s="156"/>
      <c r="AB85" s="5"/>
      <c r="AC85" s="5"/>
      <c r="AD85" s="5"/>
      <c r="AE85" s="5"/>
      <c r="AF85" s="6"/>
      <c r="AG85" s="49">
        <f t="shared" si="10"/>
        <v>0</v>
      </c>
    </row>
    <row r="86" spans="1:33" ht="27" customHeight="1" thickBot="1" x14ac:dyDescent="0.35">
      <c r="A86" s="30" t="s">
        <v>64</v>
      </c>
      <c r="B86" s="166"/>
      <c r="C86" s="5"/>
      <c r="D86" s="5"/>
      <c r="E86" s="156"/>
      <c r="F86" s="156"/>
      <c r="G86" s="5"/>
      <c r="H86" s="5"/>
      <c r="I86" s="5"/>
      <c r="J86" s="5"/>
      <c r="K86" s="5"/>
      <c r="L86" s="156"/>
      <c r="M86" s="156"/>
      <c r="N86" s="5"/>
      <c r="O86" s="5"/>
      <c r="P86" s="5"/>
      <c r="Q86" s="5"/>
      <c r="R86" s="5"/>
      <c r="S86" s="156"/>
      <c r="T86" s="156"/>
      <c r="U86" s="5"/>
      <c r="V86" s="5"/>
      <c r="W86" s="5"/>
      <c r="X86" s="5"/>
      <c r="Y86" s="5"/>
      <c r="Z86" s="156"/>
      <c r="AA86" s="156"/>
      <c r="AB86" s="5"/>
      <c r="AC86" s="5"/>
      <c r="AD86" s="5"/>
      <c r="AE86" s="5"/>
      <c r="AF86" s="6"/>
      <c r="AG86" s="49">
        <f t="shared" si="10"/>
        <v>0</v>
      </c>
    </row>
    <row r="87" spans="1:33" ht="27" customHeight="1" thickBot="1" x14ac:dyDescent="0.35">
      <c r="A87" s="30" t="s">
        <v>66</v>
      </c>
      <c r="B87" s="166"/>
      <c r="C87" s="5"/>
      <c r="D87" s="5"/>
      <c r="E87" s="156"/>
      <c r="F87" s="156"/>
      <c r="G87" s="5"/>
      <c r="H87" s="5"/>
      <c r="I87" s="5"/>
      <c r="J87" s="5"/>
      <c r="K87" s="5"/>
      <c r="L87" s="156"/>
      <c r="M87" s="156"/>
      <c r="N87" s="5"/>
      <c r="O87" s="5"/>
      <c r="P87" s="5"/>
      <c r="Q87" s="5"/>
      <c r="R87" s="5"/>
      <c r="S87" s="156"/>
      <c r="T87" s="156"/>
      <c r="U87" s="5"/>
      <c r="V87" s="5"/>
      <c r="W87" s="5"/>
      <c r="X87" s="5"/>
      <c r="Y87" s="5"/>
      <c r="Z87" s="156"/>
      <c r="AA87" s="156"/>
      <c r="AB87" s="5"/>
      <c r="AC87" s="5"/>
      <c r="AD87" s="5"/>
      <c r="AE87" s="5"/>
      <c r="AF87" s="6"/>
      <c r="AG87" s="49">
        <f t="shared" si="10"/>
        <v>0</v>
      </c>
    </row>
    <row r="88" spans="1:33" ht="27" customHeight="1" thickBot="1" x14ac:dyDescent="0.35">
      <c r="A88" s="30" t="s">
        <v>59</v>
      </c>
      <c r="B88" s="166"/>
      <c r="C88" s="5"/>
      <c r="D88" s="5"/>
      <c r="E88" s="156"/>
      <c r="F88" s="156"/>
      <c r="G88" s="5"/>
      <c r="H88" s="5"/>
      <c r="I88" s="5"/>
      <c r="J88" s="5"/>
      <c r="K88" s="5"/>
      <c r="L88" s="156"/>
      <c r="M88" s="156"/>
      <c r="N88" s="5"/>
      <c r="O88" s="5"/>
      <c r="P88" s="5"/>
      <c r="Q88" s="5"/>
      <c r="R88" s="5"/>
      <c r="S88" s="156"/>
      <c r="T88" s="156"/>
      <c r="U88" s="5"/>
      <c r="V88" s="5"/>
      <c r="W88" s="5"/>
      <c r="X88" s="5"/>
      <c r="Y88" s="5"/>
      <c r="Z88" s="156"/>
      <c r="AA88" s="156"/>
      <c r="AB88" s="5"/>
      <c r="AC88" s="5"/>
      <c r="AD88" s="5"/>
      <c r="AE88" s="5"/>
      <c r="AF88" s="6"/>
      <c r="AG88" s="49">
        <f t="shared" si="10"/>
        <v>0</v>
      </c>
    </row>
    <row r="89" spans="1:33" ht="27" customHeight="1" thickBot="1" x14ac:dyDescent="0.35">
      <c r="A89" s="32" t="s">
        <v>63</v>
      </c>
      <c r="B89" s="164"/>
      <c r="C89" s="11"/>
      <c r="D89" s="11"/>
      <c r="E89" s="157"/>
      <c r="F89" s="157"/>
      <c r="G89" s="11"/>
      <c r="H89" s="11"/>
      <c r="I89" s="11"/>
      <c r="J89" s="11"/>
      <c r="K89" s="11"/>
      <c r="L89" s="157"/>
      <c r="M89" s="157"/>
      <c r="N89" s="11"/>
      <c r="O89" s="11"/>
      <c r="P89" s="11"/>
      <c r="Q89" s="11"/>
      <c r="R89" s="11"/>
      <c r="S89" s="157"/>
      <c r="T89" s="157"/>
      <c r="U89" s="11"/>
      <c r="V89" s="11"/>
      <c r="W89" s="11"/>
      <c r="X89" s="11"/>
      <c r="Y89" s="11"/>
      <c r="Z89" s="157"/>
      <c r="AA89" s="157"/>
      <c r="AB89" s="11"/>
      <c r="AC89" s="11"/>
      <c r="AD89" s="11"/>
      <c r="AE89" s="11"/>
      <c r="AF89" s="12"/>
      <c r="AG89" s="49">
        <f t="shared" si="10"/>
        <v>0</v>
      </c>
    </row>
    <row r="90" spans="1:33" ht="27" customHeight="1" thickBot="1" x14ac:dyDescent="0.35">
      <c r="A90" s="46" t="s">
        <v>10</v>
      </c>
      <c r="B90" s="158">
        <f>SUM(B81:B89)</f>
        <v>0</v>
      </c>
      <c r="C90" s="158">
        <f t="shared" ref="C90:AF90" si="11">SUM(C81:C89)</f>
        <v>2</v>
      </c>
      <c r="D90" s="158">
        <f t="shared" si="11"/>
        <v>2</v>
      </c>
      <c r="E90" s="158">
        <f t="shared" si="11"/>
        <v>2</v>
      </c>
      <c r="F90" s="158">
        <f t="shared" si="11"/>
        <v>2</v>
      </c>
      <c r="G90" s="158">
        <f t="shared" si="11"/>
        <v>2</v>
      </c>
      <c r="H90" s="158">
        <f t="shared" si="11"/>
        <v>0</v>
      </c>
      <c r="I90" s="158">
        <f t="shared" si="11"/>
        <v>0</v>
      </c>
      <c r="J90" s="158">
        <f t="shared" si="11"/>
        <v>2</v>
      </c>
      <c r="K90" s="158">
        <f t="shared" si="11"/>
        <v>2</v>
      </c>
      <c r="L90" s="158">
        <f t="shared" si="11"/>
        <v>2</v>
      </c>
      <c r="M90" s="158">
        <f t="shared" si="11"/>
        <v>2</v>
      </c>
      <c r="N90" s="158">
        <f t="shared" si="11"/>
        <v>2</v>
      </c>
      <c r="O90" s="158">
        <f t="shared" si="11"/>
        <v>0</v>
      </c>
      <c r="P90" s="158">
        <f t="shared" si="11"/>
        <v>0</v>
      </c>
      <c r="Q90" s="158">
        <f t="shared" si="11"/>
        <v>2</v>
      </c>
      <c r="R90" s="158">
        <f t="shared" si="11"/>
        <v>2</v>
      </c>
      <c r="S90" s="158">
        <f t="shared" si="11"/>
        <v>2</v>
      </c>
      <c r="T90" s="158">
        <f t="shared" si="11"/>
        <v>2</v>
      </c>
      <c r="U90" s="158">
        <f t="shared" si="11"/>
        <v>2</v>
      </c>
      <c r="V90" s="158">
        <f t="shared" si="11"/>
        <v>0</v>
      </c>
      <c r="W90" s="158">
        <f t="shared" si="11"/>
        <v>0</v>
      </c>
      <c r="X90" s="158">
        <f t="shared" si="11"/>
        <v>0</v>
      </c>
      <c r="Y90" s="158">
        <f t="shared" si="11"/>
        <v>0</v>
      </c>
      <c r="Z90" s="158">
        <f t="shared" si="11"/>
        <v>0</v>
      </c>
      <c r="AA90" s="158">
        <f t="shared" si="11"/>
        <v>0</v>
      </c>
      <c r="AB90" s="158">
        <f t="shared" si="11"/>
        <v>0</v>
      </c>
      <c r="AC90" s="158">
        <f t="shared" si="11"/>
        <v>0</v>
      </c>
      <c r="AD90" s="158">
        <f t="shared" si="11"/>
        <v>0</v>
      </c>
      <c r="AE90" s="158">
        <f t="shared" si="11"/>
        <v>0</v>
      </c>
      <c r="AF90" s="158">
        <f t="shared" si="11"/>
        <v>0</v>
      </c>
      <c r="AG90" s="44">
        <f>SUM(B90:AF90)</f>
        <v>30</v>
      </c>
    </row>
    <row r="91" spans="1:33" ht="27" customHeight="1" thickBot="1" x14ac:dyDescent="0.3">
      <c r="A91" s="276" t="s">
        <v>326</v>
      </c>
      <c r="B91" s="277"/>
      <c r="C91" s="277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  <c r="AA91" s="277"/>
      <c r="AB91" s="277"/>
      <c r="AC91" s="277"/>
      <c r="AD91" s="277"/>
      <c r="AE91" s="277"/>
      <c r="AF91" s="277"/>
      <c r="AG91" s="278"/>
    </row>
    <row r="92" spans="1:33" ht="27" customHeight="1" thickBot="1" x14ac:dyDescent="0.35">
      <c r="A92" s="27" t="s">
        <v>67</v>
      </c>
      <c r="B92" s="173"/>
      <c r="C92" s="17"/>
      <c r="D92" s="17"/>
      <c r="E92" s="155"/>
      <c r="F92" s="155"/>
      <c r="G92" s="17"/>
      <c r="H92" s="17"/>
      <c r="I92" s="17"/>
      <c r="J92" s="17"/>
      <c r="K92" s="17"/>
      <c r="L92" s="155"/>
      <c r="M92" s="155"/>
      <c r="N92" s="17"/>
      <c r="O92" s="17"/>
      <c r="P92" s="17"/>
      <c r="Q92" s="17"/>
      <c r="R92" s="17"/>
      <c r="S92" s="155"/>
      <c r="T92" s="155"/>
      <c r="U92" s="17"/>
      <c r="V92" s="17"/>
      <c r="W92" s="17"/>
      <c r="X92" s="17"/>
      <c r="Y92" s="17"/>
      <c r="Z92" s="155"/>
      <c r="AA92" s="155"/>
      <c r="AB92" s="17"/>
      <c r="AC92" s="17"/>
      <c r="AD92" s="17"/>
      <c r="AE92" s="17"/>
      <c r="AF92" s="18"/>
      <c r="AG92" s="49">
        <f>SUM(B92:AF92)</f>
        <v>0</v>
      </c>
    </row>
    <row r="93" spans="1:33" ht="27" customHeight="1" thickBot="1" x14ac:dyDescent="0.35">
      <c r="A93" s="30" t="s">
        <v>68</v>
      </c>
      <c r="B93" s="166"/>
      <c r="C93" s="5"/>
      <c r="D93" s="5"/>
      <c r="E93" s="156"/>
      <c r="F93" s="156"/>
      <c r="G93" s="5"/>
      <c r="H93" s="5"/>
      <c r="I93" s="5"/>
      <c r="J93" s="5"/>
      <c r="K93" s="5"/>
      <c r="L93" s="156"/>
      <c r="M93" s="156"/>
      <c r="N93" s="5"/>
      <c r="O93" s="5"/>
      <c r="P93" s="5"/>
      <c r="Q93" s="5"/>
      <c r="R93" s="5"/>
      <c r="S93" s="156"/>
      <c r="T93" s="156"/>
      <c r="U93" s="5"/>
      <c r="V93" s="5"/>
      <c r="W93" s="5"/>
      <c r="X93" s="5"/>
      <c r="Y93" s="5"/>
      <c r="Z93" s="156"/>
      <c r="AA93" s="156"/>
      <c r="AB93" s="5"/>
      <c r="AC93" s="5"/>
      <c r="AD93" s="5"/>
      <c r="AE93" s="5"/>
      <c r="AF93" s="6"/>
      <c r="AG93" s="49">
        <f t="shared" ref="AG93:AG98" si="12">SUM(B93:AF93)</f>
        <v>0</v>
      </c>
    </row>
    <row r="94" spans="1:33" ht="27" customHeight="1" thickBot="1" x14ac:dyDescent="0.35">
      <c r="A94" s="30" t="s">
        <v>69</v>
      </c>
      <c r="B94" s="166"/>
      <c r="C94" s="5"/>
      <c r="D94" s="5"/>
      <c r="E94" s="156"/>
      <c r="F94" s="156"/>
      <c r="G94" s="5"/>
      <c r="H94" s="5"/>
      <c r="I94" s="5"/>
      <c r="J94" s="5"/>
      <c r="K94" s="5"/>
      <c r="L94" s="156"/>
      <c r="M94" s="156"/>
      <c r="N94" s="5"/>
      <c r="O94" s="5"/>
      <c r="P94" s="5"/>
      <c r="Q94" s="5"/>
      <c r="R94" s="5"/>
      <c r="S94" s="156"/>
      <c r="T94" s="156"/>
      <c r="U94" s="5"/>
      <c r="V94" s="5"/>
      <c r="W94" s="5"/>
      <c r="X94" s="5"/>
      <c r="Y94" s="5"/>
      <c r="Z94" s="156"/>
      <c r="AA94" s="156"/>
      <c r="AB94" s="5"/>
      <c r="AC94" s="5"/>
      <c r="AD94" s="5"/>
      <c r="AE94" s="5"/>
      <c r="AF94" s="6"/>
      <c r="AG94" s="49">
        <f t="shared" si="12"/>
        <v>0</v>
      </c>
    </row>
    <row r="95" spans="1:33" ht="27" customHeight="1" thickBot="1" x14ac:dyDescent="0.35">
      <c r="A95" s="30" t="s">
        <v>70</v>
      </c>
      <c r="B95" s="166"/>
      <c r="C95" s="5"/>
      <c r="D95" s="5"/>
      <c r="E95" s="156"/>
      <c r="F95" s="156"/>
      <c r="G95" s="5"/>
      <c r="H95" s="5"/>
      <c r="I95" s="5"/>
      <c r="J95" s="5"/>
      <c r="K95" s="5"/>
      <c r="L95" s="156"/>
      <c r="M95" s="156"/>
      <c r="N95" s="5"/>
      <c r="O95" s="5"/>
      <c r="P95" s="5"/>
      <c r="Q95" s="5"/>
      <c r="R95" s="5"/>
      <c r="S95" s="156"/>
      <c r="T95" s="156"/>
      <c r="U95" s="5"/>
      <c r="V95" s="5"/>
      <c r="W95" s="5"/>
      <c r="X95" s="5"/>
      <c r="Y95" s="5"/>
      <c r="Z95" s="156"/>
      <c r="AA95" s="156"/>
      <c r="AB95" s="5"/>
      <c r="AC95" s="5"/>
      <c r="AD95" s="5"/>
      <c r="AE95" s="5"/>
      <c r="AF95" s="6"/>
      <c r="AG95" s="49">
        <f t="shared" si="12"/>
        <v>0</v>
      </c>
    </row>
    <row r="96" spans="1:33" ht="27" customHeight="1" thickBot="1" x14ac:dyDescent="0.35">
      <c r="A96" s="30" t="s">
        <v>461</v>
      </c>
      <c r="B96" s="166"/>
      <c r="C96" s="5"/>
      <c r="D96" s="5"/>
      <c r="E96" s="156"/>
      <c r="F96" s="156"/>
      <c r="G96" s="5"/>
      <c r="H96" s="5"/>
      <c r="I96" s="5"/>
      <c r="J96" s="5"/>
      <c r="K96" s="5"/>
      <c r="L96" s="156"/>
      <c r="M96" s="156"/>
      <c r="N96" s="5"/>
      <c r="O96" s="5"/>
      <c r="P96" s="5"/>
      <c r="Q96" s="5"/>
      <c r="R96" s="5"/>
      <c r="S96" s="156"/>
      <c r="T96" s="156"/>
      <c r="U96" s="5"/>
      <c r="V96" s="5"/>
      <c r="W96" s="5"/>
      <c r="X96" s="5"/>
      <c r="Y96" s="5"/>
      <c r="Z96" s="156"/>
      <c r="AA96" s="156"/>
      <c r="AB96" s="5"/>
      <c r="AC96" s="5"/>
      <c r="AD96" s="5"/>
      <c r="AE96" s="5"/>
      <c r="AF96" s="6"/>
      <c r="AG96" s="49">
        <f t="shared" si="12"/>
        <v>0</v>
      </c>
    </row>
    <row r="97" spans="1:33" ht="27" customHeight="1" thickBot="1" x14ac:dyDescent="0.35">
      <c r="A97" s="30" t="s">
        <v>71</v>
      </c>
      <c r="B97" s="166"/>
      <c r="C97" s="5"/>
      <c r="D97" s="5"/>
      <c r="E97" s="156"/>
      <c r="F97" s="156"/>
      <c r="G97" s="5"/>
      <c r="H97" s="5"/>
      <c r="I97" s="5"/>
      <c r="J97" s="5"/>
      <c r="K97" s="5"/>
      <c r="L97" s="156"/>
      <c r="M97" s="156"/>
      <c r="N97" s="5"/>
      <c r="O97" s="5"/>
      <c r="P97" s="5"/>
      <c r="Q97" s="5"/>
      <c r="R97" s="5"/>
      <c r="S97" s="156"/>
      <c r="T97" s="156"/>
      <c r="U97" s="5"/>
      <c r="V97" s="5"/>
      <c r="W97" s="5"/>
      <c r="X97" s="5"/>
      <c r="Y97" s="5"/>
      <c r="Z97" s="156"/>
      <c r="AA97" s="156"/>
      <c r="AB97" s="5"/>
      <c r="AC97" s="5"/>
      <c r="AD97" s="5"/>
      <c r="AE97" s="5"/>
      <c r="AF97" s="6"/>
      <c r="AG97" s="49">
        <f t="shared" si="12"/>
        <v>0</v>
      </c>
    </row>
    <row r="98" spans="1:33" ht="27" customHeight="1" thickBot="1" x14ac:dyDescent="0.35">
      <c r="A98" s="32" t="s">
        <v>466</v>
      </c>
      <c r="B98" s="164"/>
      <c r="C98" s="11"/>
      <c r="D98" s="11"/>
      <c r="E98" s="157"/>
      <c r="F98" s="157"/>
      <c r="G98" s="11"/>
      <c r="H98" s="11"/>
      <c r="I98" s="11"/>
      <c r="J98" s="11"/>
      <c r="K98" s="11"/>
      <c r="L98" s="157"/>
      <c r="M98" s="157"/>
      <c r="N98" s="11"/>
      <c r="O98" s="11"/>
      <c r="P98" s="11"/>
      <c r="Q98" s="11"/>
      <c r="R98" s="11"/>
      <c r="S98" s="157"/>
      <c r="T98" s="157"/>
      <c r="U98" s="11"/>
      <c r="V98" s="11"/>
      <c r="W98" s="11"/>
      <c r="X98" s="11"/>
      <c r="Y98" s="11"/>
      <c r="Z98" s="157"/>
      <c r="AA98" s="157"/>
      <c r="AB98" s="11"/>
      <c r="AC98" s="11"/>
      <c r="AD98" s="11"/>
      <c r="AE98" s="11"/>
      <c r="AF98" s="12"/>
      <c r="AG98" s="49">
        <f t="shared" si="12"/>
        <v>0</v>
      </c>
    </row>
    <row r="99" spans="1:33" ht="27" customHeight="1" thickBot="1" x14ac:dyDescent="0.35">
      <c r="A99" s="46" t="s">
        <v>10</v>
      </c>
      <c r="B99" s="158">
        <f t="shared" ref="B99:AG99" si="13">SUM(B92:B98)</f>
        <v>0</v>
      </c>
      <c r="C99" s="158">
        <f t="shared" si="13"/>
        <v>0</v>
      </c>
      <c r="D99" s="158">
        <f t="shared" si="13"/>
        <v>0</v>
      </c>
      <c r="E99" s="158">
        <f t="shared" si="13"/>
        <v>0</v>
      </c>
      <c r="F99" s="158">
        <f t="shared" si="13"/>
        <v>0</v>
      </c>
      <c r="G99" s="158">
        <f t="shared" si="13"/>
        <v>0</v>
      </c>
      <c r="H99" s="158">
        <f t="shared" si="13"/>
        <v>0</v>
      </c>
      <c r="I99" s="158">
        <f t="shared" si="13"/>
        <v>0</v>
      </c>
      <c r="J99" s="158">
        <f t="shared" si="13"/>
        <v>0</v>
      </c>
      <c r="K99" s="158">
        <f t="shared" si="13"/>
        <v>0</v>
      </c>
      <c r="L99" s="158">
        <f t="shared" si="13"/>
        <v>0</v>
      </c>
      <c r="M99" s="158">
        <f t="shared" si="13"/>
        <v>0</v>
      </c>
      <c r="N99" s="158">
        <f t="shared" si="13"/>
        <v>0</v>
      </c>
      <c r="O99" s="158">
        <f t="shared" si="13"/>
        <v>0</v>
      </c>
      <c r="P99" s="158">
        <f t="shared" si="13"/>
        <v>0</v>
      </c>
      <c r="Q99" s="158">
        <f t="shared" si="13"/>
        <v>0</v>
      </c>
      <c r="R99" s="158">
        <f t="shared" si="13"/>
        <v>0</v>
      </c>
      <c r="S99" s="158">
        <f t="shared" si="13"/>
        <v>0</v>
      </c>
      <c r="T99" s="158">
        <f t="shared" si="13"/>
        <v>0</v>
      </c>
      <c r="U99" s="158">
        <f t="shared" si="13"/>
        <v>0</v>
      </c>
      <c r="V99" s="158">
        <f t="shared" si="13"/>
        <v>0</v>
      </c>
      <c r="W99" s="158">
        <f t="shared" si="13"/>
        <v>0</v>
      </c>
      <c r="X99" s="158">
        <f t="shared" si="13"/>
        <v>0</v>
      </c>
      <c r="Y99" s="158">
        <f t="shared" si="13"/>
        <v>0</v>
      </c>
      <c r="Z99" s="158">
        <f t="shared" si="13"/>
        <v>0</v>
      </c>
      <c r="AA99" s="158">
        <f t="shared" si="13"/>
        <v>0</v>
      </c>
      <c r="AB99" s="158">
        <f t="shared" si="13"/>
        <v>0</v>
      </c>
      <c r="AC99" s="158">
        <f t="shared" si="13"/>
        <v>0</v>
      </c>
      <c r="AD99" s="158">
        <f t="shared" si="13"/>
        <v>0</v>
      </c>
      <c r="AE99" s="158">
        <f t="shared" si="13"/>
        <v>0</v>
      </c>
      <c r="AF99" s="158">
        <f t="shared" si="13"/>
        <v>0</v>
      </c>
      <c r="AG99" s="44">
        <f t="shared" si="13"/>
        <v>0</v>
      </c>
    </row>
    <row r="100" spans="1:33" ht="27" customHeight="1" thickBot="1" x14ac:dyDescent="0.3">
      <c r="A100" s="276" t="s">
        <v>327</v>
      </c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  <c r="AG100" s="278"/>
    </row>
    <row r="101" spans="1:33" ht="27" customHeight="1" thickBot="1" x14ac:dyDescent="0.35">
      <c r="A101" s="27" t="s">
        <v>474</v>
      </c>
      <c r="B101" s="173"/>
      <c r="C101" s="17"/>
      <c r="D101" s="17"/>
      <c r="E101" s="155"/>
      <c r="F101" s="155"/>
      <c r="G101" s="17"/>
      <c r="H101" s="17"/>
      <c r="I101" s="17"/>
      <c r="J101" s="17"/>
      <c r="K101" s="17"/>
      <c r="L101" s="155"/>
      <c r="M101" s="155"/>
      <c r="N101" s="17"/>
      <c r="O101" s="17"/>
      <c r="P101" s="17"/>
      <c r="Q101" s="17"/>
      <c r="R101" s="17"/>
      <c r="S101" s="155"/>
      <c r="T101" s="155"/>
      <c r="U101" s="17"/>
      <c r="V101" s="17"/>
      <c r="W101" s="17"/>
      <c r="X101" s="17"/>
      <c r="Y101" s="17"/>
      <c r="Z101" s="155"/>
      <c r="AA101" s="155"/>
      <c r="AB101" s="17"/>
      <c r="AC101" s="17"/>
      <c r="AD101" s="17"/>
      <c r="AE101" s="17"/>
      <c r="AF101" s="18"/>
      <c r="AG101" s="49">
        <f>SUM(B101:AF101)</f>
        <v>0</v>
      </c>
    </row>
    <row r="102" spans="1:33" ht="27" customHeight="1" thickBot="1" x14ac:dyDescent="0.35">
      <c r="A102" s="30" t="s">
        <v>74</v>
      </c>
      <c r="B102" s="166"/>
      <c r="C102" s="5"/>
      <c r="D102" s="5"/>
      <c r="E102" s="156"/>
      <c r="F102" s="156"/>
      <c r="G102" s="5"/>
      <c r="H102" s="5"/>
      <c r="I102" s="5"/>
      <c r="J102" s="5"/>
      <c r="K102" s="5"/>
      <c r="L102" s="156"/>
      <c r="M102" s="156"/>
      <c r="N102" s="5"/>
      <c r="O102" s="5"/>
      <c r="P102" s="5"/>
      <c r="Q102" s="5"/>
      <c r="R102" s="5"/>
      <c r="S102" s="156"/>
      <c r="T102" s="156"/>
      <c r="U102" s="5"/>
      <c r="V102" s="5"/>
      <c r="W102" s="5"/>
      <c r="X102" s="5"/>
      <c r="Y102" s="5"/>
      <c r="Z102" s="156"/>
      <c r="AA102" s="156"/>
      <c r="AB102" s="5"/>
      <c r="AC102" s="5"/>
      <c r="AD102" s="5"/>
      <c r="AE102" s="5"/>
      <c r="AF102" s="6"/>
      <c r="AG102" s="49">
        <f>SUM(B102:AF102)</f>
        <v>0</v>
      </c>
    </row>
    <row r="103" spans="1:33" ht="27" customHeight="1" thickBot="1" x14ac:dyDescent="0.35">
      <c r="A103" s="32" t="s">
        <v>75</v>
      </c>
      <c r="B103" s="164"/>
      <c r="C103" s="11"/>
      <c r="D103" s="11"/>
      <c r="E103" s="157"/>
      <c r="F103" s="157"/>
      <c r="G103" s="11"/>
      <c r="H103" s="11"/>
      <c r="I103" s="11"/>
      <c r="J103" s="11"/>
      <c r="K103" s="11"/>
      <c r="L103" s="157"/>
      <c r="M103" s="157"/>
      <c r="N103" s="11"/>
      <c r="O103" s="11"/>
      <c r="P103" s="11"/>
      <c r="Q103" s="11"/>
      <c r="R103" s="11"/>
      <c r="S103" s="157"/>
      <c r="T103" s="157"/>
      <c r="U103" s="11"/>
      <c r="V103" s="11"/>
      <c r="W103" s="11"/>
      <c r="X103" s="11"/>
      <c r="Y103" s="11"/>
      <c r="Z103" s="157"/>
      <c r="AA103" s="157"/>
      <c r="AB103" s="11"/>
      <c r="AC103" s="11"/>
      <c r="AD103" s="11"/>
      <c r="AE103" s="11"/>
      <c r="AF103" s="12"/>
      <c r="AG103" s="49">
        <f>SUM(B103:AF103)</f>
        <v>0</v>
      </c>
    </row>
    <row r="104" spans="1:33" ht="27" customHeight="1" thickBot="1" x14ac:dyDescent="0.35">
      <c r="A104" s="46" t="s">
        <v>10</v>
      </c>
      <c r="B104" s="158">
        <f>SUM(B101:B103)</f>
        <v>0</v>
      </c>
      <c r="C104" s="76">
        <f t="shared" ref="C104:AF104" si="14">SUM(C101:C103)</f>
        <v>0</v>
      </c>
      <c r="D104" s="76">
        <f t="shared" si="14"/>
        <v>0</v>
      </c>
      <c r="E104" s="158">
        <f t="shared" si="14"/>
        <v>0</v>
      </c>
      <c r="F104" s="158">
        <f t="shared" si="14"/>
        <v>0</v>
      </c>
      <c r="G104" s="76">
        <f t="shared" si="14"/>
        <v>0</v>
      </c>
      <c r="H104" s="76">
        <f t="shared" si="14"/>
        <v>0</v>
      </c>
      <c r="I104" s="76">
        <f t="shared" si="14"/>
        <v>0</v>
      </c>
      <c r="J104" s="76">
        <f t="shared" si="14"/>
        <v>0</v>
      </c>
      <c r="K104" s="76">
        <f t="shared" si="14"/>
        <v>0</v>
      </c>
      <c r="L104" s="158">
        <f t="shared" si="14"/>
        <v>0</v>
      </c>
      <c r="M104" s="158">
        <f t="shared" si="14"/>
        <v>0</v>
      </c>
      <c r="N104" s="76">
        <f t="shared" si="14"/>
        <v>0</v>
      </c>
      <c r="O104" s="76">
        <f t="shared" si="14"/>
        <v>0</v>
      </c>
      <c r="P104" s="76">
        <f t="shared" si="14"/>
        <v>0</v>
      </c>
      <c r="Q104" s="76">
        <f t="shared" si="14"/>
        <v>0</v>
      </c>
      <c r="R104" s="76">
        <f t="shared" si="14"/>
        <v>0</v>
      </c>
      <c r="S104" s="158">
        <f t="shared" si="14"/>
        <v>0</v>
      </c>
      <c r="T104" s="158">
        <f t="shared" si="14"/>
        <v>0</v>
      </c>
      <c r="U104" s="76">
        <f t="shared" si="14"/>
        <v>0</v>
      </c>
      <c r="V104" s="76">
        <f t="shared" si="14"/>
        <v>0</v>
      </c>
      <c r="W104" s="76">
        <f t="shared" si="14"/>
        <v>0</v>
      </c>
      <c r="X104" s="76">
        <f t="shared" si="14"/>
        <v>0</v>
      </c>
      <c r="Y104" s="76">
        <f t="shared" si="14"/>
        <v>0</v>
      </c>
      <c r="Z104" s="158">
        <f t="shared" si="14"/>
        <v>0</v>
      </c>
      <c r="AA104" s="158">
        <f t="shared" si="14"/>
        <v>0</v>
      </c>
      <c r="AB104" s="76">
        <f t="shared" si="14"/>
        <v>0</v>
      </c>
      <c r="AC104" s="76">
        <f t="shared" si="14"/>
        <v>0</v>
      </c>
      <c r="AD104" s="76">
        <f t="shared" si="14"/>
        <v>0</v>
      </c>
      <c r="AE104" s="76">
        <f t="shared" si="14"/>
        <v>0</v>
      </c>
      <c r="AF104" s="76">
        <f t="shared" si="14"/>
        <v>0</v>
      </c>
      <c r="AG104" s="44">
        <f>SUM(B104:AF104)</f>
        <v>0</v>
      </c>
    </row>
    <row r="105" spans="1:33" ht="27" customHeight="1" thickBot="1" x14ac:dyDescent="0.3">
      <c r="A105" s="276" t="s">
        <v>328</v>
      </c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  <c r="AG105" s="278"/>
    </row>
    <row r="106" spans="1:33" ht="27" customHeight="1" thickBot="1" x14ac:dyDescent="0.35">
      <c r="A106" s="27" t="s">
        <v>390</v>
      </c>
      <c r="B106" s="173"/>
      <c r="C106" s="17"/>
      <c r="D106" s="17"/>
      <c r="E106" s="155"/>
      <c r="F106" s="155"/>
      <c r="G106" s="17"/>
      <c r="H106" s="17"/>
      <c r="I106" s="17"/>
      <c r="J106" s="17"/>
      <c r="K106" s="17"/>
      <c r="L106" s="155"/>
      <c r="M106" s="155"/>
      <c r="N106" s="17"/>
      <c r="O106" s="17"/>
      <c r="P106" s="17"/>
      <c r="Q106" s="17"/>
      <c r="R106" s="17"/>
      <c r="S106" s="155"/>
      <c r="T106" s="155"/>
      <c r="U106" s="17"/>
      <c r="V106" s="17"/>
      <c r="W106" s="17"/>
      <c r="X106" s="17"/>
      <c r="Y106" s="17"/>
      <c r="Z106" s="155"/>
      <c r="AA106" s="155"/>
      <c r="AB106" s="17"/>
      <c r="AC106" s="17"/>
      <c r="AD106" s="17"/>
      <c r="AE106" s="17"/>
      <c r="AF106" s="18"/>
      <c r="AG106" s="49">
        <f>SUM(B106:AF106)</f>
        <v>0</v>
      </c>
    </row>
    <row r="107" spans="1:33" ht="27" customHeight="1" thickBot="1" x14ac:dyDescent="0.35">
      <c r="A107" s="30" t="s">
        <v>76</v>
      </c>
      <c r="B107" s="166"/>
      <c r="C107" s="5"/>
      <c r="D107" s="5"/>
      <c r="E107" s="156"/>
      <c r="F107" s="156"/>
      <c r="G107" s="5"/>
      <c r="H107" s="5"/>
      <c r="I107" s="5"/>
      <c r="J107" s="5"/>
      <c r="K107" s="5"/>
      <c r="L107" s="156"/>
      <c r="M107" s="156"/>
      <c r="N107" s="5"/>
      <c r="O107" s="5"/>
      <c r="P107" s="5"/>
      <c r="Q107" s="5"/>
      <c r="R107" s="5"/>
      <c r="S107" s="156"/>
      <c r="T107" s="156"/>
      <c r="U107" s="5"/>
      <c r="V107" s="5"/>
      <c r="W107" s="5"/>
      <c r="X107" s="5"/>
      <c r="Y107" s="5"/>
      <c r="Z107" s="156"/>
      <c r="AA107" s="156"/>
      <c r="AB107" s="5"/>
      <c r="AC107" s="5"/>
      <c r="AD107" s="5"/>
      <c r="AE107" s="5"/>
      <c r="AF107" s="6"/>
      <c r="AG107" s="49">
        <f>SUM(B107:AF107)</f>
        <v>0</v>
      </c>
    </row>
    <row r="108" spans="1:33" ht="27" customHeight="1" thickBot="1" x14ac:dyDescent="0.35">
      <c r="A108" s="32" t="s">
        <v>77</v>
      </c>
      <c r="B108" s="164"/>
      <c r="C108" s="11"/>
      <c r="D108" s="11"/>
      <c r="E108" s="157"/>
      <c r="F108" s="157"/>
      <c r="G108" s="11"/>
      <c r="H108" s="11"/>
      <c r="I108" s="11"/>
      <c r="J108" s="11"/>
      <c r="K108" s="11"/>
      <c r="L108" s="157"/>
      <c r="M108" s="157"/>
      <c r="N108" s="11"/>
      <c r="O108" s="11"/>
      <c r="P108" s="11"/>
      <c r="Q108" s="11"/>
      <c r="R108" s="11"/>
      <c r="S108" s="157"/>
      <c r="T108" s="157"/>
      <c r="U108" s="11"/>
      <c r="V108" s="11"/>
      <c r="W108" s="11"/>
      <c r="X108" s="11"/>
      <c r="Y108" s="11"/>
      <c r="Z108" s="157"/>
      <c r="AA108" s="157"/>
      <c r="AB108" s="11"/>
      <c r="AC108" s="11"/>
      <c r="AD108" s="11"/>
      <c r="AE108" s="11"/>
      <c r="AF108" s="12"/>
      <c r="AG108" s="49">
        <f>SUM(B108:AF108)</f>
        <v>0</v>
      </c>
    </row>
    <row r="109" spans="1:33" ht="27" customHeight="1" thickBot="1" x14ac:dyDescent="0.35">
      <c r="A109" s="46" t="s">
        <v>10</v>
      </c>
      <c r="B109" s="158">
        <f>SUM(B106:B108)</f>
        <v>0</v>
      </c>
      <c r="C109" s="158">
        <f t="shared" ref="C109:AF109" si="15">SUM(C106:C108)</f>
        <v>0</v>
      </c>
      <c r="D109" s="158">
        <f t="shared" si="15"/>
        <v>0</v>
      </c>
      <c r="E109" s="158">
        <f t="shared" si="15"/>
        <v>0</v>
      </c>
      <c r="F109" s="158">
        <f t="shared" si="15"/>
        <v>0</v>
      </c>
      <c r="G109" s="158">
        <f t="shared" si="15"/>
        <v>0</v>
      </c>
      <c r="H109" s="158">
        <f t="shared" si="15"/>
        <v>0</v>
      </c>
      <c r="I109" s="158">
        <f t="shared" si="15"/>
        <v>0</v>
      </c>
      <c r="J109" s="158">
        <f t="shared" si="15"/>
        <v>0</v>
      </c>
      <c r="K109" s="158">
        <f t="shared" si="15"/>
        <v>0</v>
      </c>
      <c r="L109" s="158">
        <f t="shared" si="15"/>
        <v>0</v>
      </c>
      <c r="M109" s="158">
        <f t="shared" si="15"/>
        <v>0</v>
      </c>
      <c r="N109" s="158">
        <f t="shared" si="15"/>
        <v>0</v>
      </c>
      <c r="O109" s="158">
        <f t="shared" si="15"/>
        <v>0</v>
      </c>
      <c r="P109" s="158">
        <f t="shared" si="15"/>
        <v>0</v>
      </c>
      <c r="Q109" s="158">
        <f t="shared" si="15"/>
        <v>0</v>
      </c>
      <c r="R109" s="158">
        <f t="shared" si="15"/>
        <v>0</v>
      </c>
      <c r="S109" s="158">
        <f t="shared" si="15"/>
        <v>0</v>
      </c>
      <c r="T109" s="158">
        <f t="shared" si="15"/>
        <v>0</v>
      </c>
      <c r="U109" s="158">
        <f t="shared" si="15"/>
        <v>0</v>
      </c>
      <c r="V109" s="158">
        <f t="shared" si="15"/>
        <v>0</v>
      </c>
      <c r="W109" s="158">
        <f t="shared" si="15"/>
        <v>0</v>
      </c>
      <c r="X109" s="158">
        <f t="shared" si="15"/>
        <v>0</v>
      </c>
      <c r="Y109" s="158">
        <f t="shared" si="15"/>
        <v>0</v>
      </c>
      <c r="Z109" s="158">
        <f t="shared" si="15"/>
        <v>0</v>
      </c>
      <c r="AA109" s="158">
        <f t="shared" si="15"/>
        <v>0</v>
      </c>
      <c r="AB109" s="158">
        <f t="shared" si="15"/>
        <v>0</v>
      </c>
      <c r="AC109" s="158">
        <f t="shared" si="15"/>
        <v>0</v>
      </c>
      <c r="AD109" s="158">
        <f t="shared" si="15"/>
        <v>0</v>
      </c>
      <c r="AE109" s="158">
        <f t="shared" si="15"/>
        <v>0</v>
      </c>
      <c r="AF109" s="158">
        <f t="shared" si="15"/>
        <v>0</v>
      </c>
      <c r="AG109" s="44">
        <f>SUM(B109:AF109)</f>
        <v>0</v>
      </c>
    </row>
    <row r="110" spans="1:33" ht="27" customHeight="1" thickBot="1" x14ac:dyDescent="0.3">
      <c r="A110" s="276" t="s">
        <v>329</v>
      </c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  <c r="AG110" s="278"/>
    </row>
    <row r="111" spans="1:33" ht="27" customHeight="1" thickBot="1" x14ac:dyDescent="0.35">
      <c r="A111" s="129" t="s">
        <v>448</v>
      </c>
      <c r="B111" s="173"/>
      <c r="C111" s="196">
        <v>2</v>
      </c>
      <c r="D111" s="196">
        <v>2</v>
      </c>
      <c r="E111" s="196"/>
      <c r="F111" s="196">
        <v>2</v>
      </c>
      <c r="G111" s="196">
        <v>2</v>
      </c>
      <c r="H111" s="17">
        <v>2</v>
      </c>
      <c r="I111" s="155"/>
      <c r="J111" s="196">
        <v>2</v>
      </c>
      <c r="K111" s="196">
        <v>2</v>
      </c>
      <c r="L111" s="196">
        <v>2</v>
      </c>
      <c r="M111" s="196"/>
      <c r="N111" s="196"/>
      <c r="O111" s="222">
        <v>2</v>
      </c>
      <c r="P111" s="155"/>
      <c r="Q111" s="196">
        <v>2</v>
      </c>
      <c r="R111" s="196">
        <v>2</v>
      </c>
      <c r="S111" s="196">
        <v>2</v>
      </c>
      <c r="T111" s="196">
        <v>2</v>
      </c>
      <c r="U111" s="196">
        <v>2</v>
      </c>
      <c r="V111" s="155"/>
      <c r="W111" s="155"/>
      <c r="X111" s="196"/>
      <c r="Y111" s="155"/>
      <c r="Z111" s="155"/>
      <c r="AA111" s="155"/>
      <c r="AB111" s="155"/>
      <c r="AC111" s="155"/>
      <c r="AD111" s="155"/>
      <c r="AE111" s="196"/>
      <c r="AF111" s="209"/>
      <c r="AG111" s="44">
        <f>SUM(B111:AF111)</f>
        <v>28</v>
      </c>
    </row>
    <row r="112" spans="1:33" ht="27" customHeight="1" thickBot="1" x14ac:dyDescent="0.35">
      <c r="A112" s="30" t="s">
        <v>81</v>
      </c>
      <c r="B112" s="166"/>
      <c r="C112" s="197"/>
      <c r="D112" s="197"/>
      <c r="E112" s="197"/>
      <c r="F112" s="197"/>
      <c r="G112" s="197"/>
      <c r="H112" s="5"/>
      <c r="I112" s="156"/>
      <c r="J112" s="197"/>
      <c r="K112" s="197"/>
      <c r="L112" s="197"/>
      <c r="M112" s="197"/>
      <c r="N112" s="197"/>
      <c r="O112" s="223"/>
      <c r="P112" s="156"/>
      <c r="Q112" s="197"/>
      <c r="R112" s="197"/>
      <c r="S112" s="197"/>
      <c r="T112" s="197"/>
      <c r="U112" s="197"/>
      <c r="V112" s="156"/>
      <c r="W112" s="156"/>
      <c r="X112" s="197"/>
      <c r="Y112" s="156"/>
      <c r="Z112" s="156"/>
      <c r="AA112" s="156"/>
      <c r="AB112" s="156"/>
      <c r="AC112" s="156"/>
      <c r="AD112" s="156"/>
      <c r="AE112" s="197"/>
      <c r="AF112" s="211"/>
      <c r="AG112" s="44">
        <f t="shared" ref="AG112:AG119" si="16">SUM(B112:AF112)</f>
        <v>0</v>
      </c>
    </row>
    <row r="113" spans="1:33" ht="27" customHeight="1" thickBot="1" x14ac:dyDescent="0.35">
      <c r="A113" s="30" t="s">
        <v>78</v>
      </c>
      <c r="B113" s="166"/>
      <c r="C113" s="197"/>
      <c r="D113" s="197"/>
      <c r="E113" s="197"/>
      <c r="F113" s="197"/>
      <c r="G113" s="197"/>
      <c r="H113" s="5"/>
      <c r="I113" s="156"/>
      <c r="J113" s="197"/>
      <c r="K113" s="197"/>
      <c r="L113" s="197"/>
      <c r="M113" s="197"/>
      <c r="N113" s="197"/>
      <c r="O113" s="223"/>
      <c r="P113" s="156"/>
      <c r="Q113" s="197"/>
      <c r="R113" s="197"/>
      <c r="S113" s="197"/>
      <c r="T113" s="197"/>
      <c r="U113" s="197"/>
      <c r="V113" s="156"/>
      <c r="W113" s="156"/>
      <c r="X113" s="197"/>
      <c r="Y113" s="156"/>
      <c r="Z113" s="156"/>
      <c r="AA113" s="156"/>
      <c r="AB113" s="156"/>
      <c r="AC113" s="156"/>
      <c r="AD113" s="156"/>
      <c r="AE113" s="197"/>
      <c r="AF113" s="211"/>
      <c r="AG113" s="44">
        <f t="shared" si="16"/>
        <v>0</v>
      </c>
    </row>
    <row r="114" spans="1:33" ht="27" customHeight="1" thickBot="1" x14ac:dyDescent="0.35">
      <c r="A114" s="30" t="s">
        <v>79</v>
      </c>
      <c r="B114" s="166"/>
      <c r="C114" s="197">
        <v>1</v>
      </c>
      <c r="D114" s="197">
        <v>1</v>
      </c>
      <c r="E114" s="197"/>
      <c r="F114" s="197"/>
      <c r="G114" s="197"/>
      <c r="H114" s="5"/>
      <c r="I114" s="156"/>
      <c r="J114" s="197">
        <v>1</v>
      </c>
      <c r="K114" s="197">
        <v>1</v>
      </c>
      <c r="L114" s="197">
        <v>1</v>
      </c>
      <c r="M114" s="197"/>
      <c r="N114" s="197">
        <v>1</v>
      </c>
      <c r="O114" s="223"/>
      <c r="P114" s="156"/>
      <c r="Q114" s="197"/>
      <c r="R114" s="197"/>
      <c r="S114" s="197">
        <v>1</v>
      </c>
      <c r="T114" s="197">
        <v>1</v>
      </c>
      <c r="U114" s="197"/>
      <c r="V114" s="156"/>
      <c r="W114" s="156"/>
      <c r="X114" s="197"/>
      <c r="Y114" s="156"/>
      <c r="Z114" s="156"/>
      <c r="AA114" s="156"/>
      <c r="AB114" s="156"/>
      <c r="AC114" s="156"/>
      <c r="AD114" s="156"/>
      <c r="AE114" s="197"/>
      <c r="AF114" s="211"/>
      <c r="AG114" s="44">
        <f t="shared" si="16"/>
        <v>8</v>
      </c>
    </row>
    <row r="115" spans="1:33" ht="27" customHeight="1" thickBot="1" x14ac:dyDescent="0.35">
      <c r="A115" s="32" t="s">
        <v>80</v>
      </c>
      <c r="B115" s="164"/>
      <c r="C115" s="212"/>
      <c r="D115" s="212"/>
      <c r="E115" s="212"/>
      <c r="F115" s="212"/>
      <c r="G115" s="212">
        <v>1</v>
      </c>
      <c r="H115" s="11"/>
      <c r="I115" s="157"/>
      <c r="J115" s="212">
        <v>1</v>
      </c>
      <c r="K115" s="212"/>
      <c r="L115" s="212"/>
      <c r="M115" s="212"/>
      <c r="N115" s="212"/>
      <c r="O115" s="224"/>
      <c r="P115" s="157"/>
      <c r="Q115" s="212"/>
      <c r="R115" s="212"/>
      <c r="S115" s="212">
        <v>1</v>
      </c>
      <c r="T115" s="212"/>
      <c r="U115" s="212"/>
      <c r="V115" s="157"/>
      <c r="W115" s="157"/>
      <c r="X115" s="212"/>
      <c r="Y115" s="157"/>
      <c r="Z115" s="157"/>
      <c r="AA115" s="157"/>
      <c r="AB115" s="157"/>
      <c r="AC115" s="157"/>
      <c r="AD115" s="157"/>
      <c r="AE115" s="212"/>
      <c r="AF115" s="213"/>
      <c r="AG115" s="44">
        <f t="shared" si="16"/>
        <v>3</v>
      </c>
    </row>
    <row r="116" spans="1:33" ht="27" customHeight="1" thickBot="1" x14ac:dyDescent="0.35">
      <c r="A116" s="152" t="s">
        <v>437</v>
      </c>
      <c r="B116" s="156"/>
      <c r="C116" s="197"/>
      <c r="D116" s="197"/>
      <c r="E116" s="197"/>
      <c r="F116" s="197"/>
      <c r="G116" s="197"/>
      <c r="H116" s="5"/>
      <c r="I116" s="156"/>
      <c r="J116" s="197"/>
      <c r="K116" s="197"/>
      <c r="L116" s="197"/>
      <c r="M116" s="197"/>
      <c r="N116" s="197"/>
      <c r="O116" s="223"/>
      <c r="P116" s="156"/>
      <c r="Q116" s="197"/>
      <c r="R116" s="197"/>
      <c r="S116" s="197"/>
      <c r="T116" s="197"/>
      <c r="U116" s="197"/>
      <c r="V116" s="156"/>
      <c r="W116" s="156"/>
      <c r="X116" s="197"/>
      <c r="Y116" s="156"/>
      <c r="Z116" s="156"/>
      <c r="AA116" s="156"/>
      <c r="AB116" s="156"/>
      <c r="AC116" s="156"/>
      <c r="AD116" s="156"/>
      <c r="AE116" s="197"/>
      <c r="AF116" s="211"/>
      <c r="AG116" s="44">
        <f t="shared" si="16"/>
        <v>0</v>
      </c>
    </row>
    <row r="117" spans="1:33" ht="27" customHeight="1" thickBot="1" x14ac:dyDescent="0.35">
      <c r="A117" s="128" t="s">
        <v>441</v>
      </c>
      <c r="B117" s="219"/>
      <c r="C117" s="214"/>
      <c r="D117" s="214">
        <v>1</v>
      </c>
      <c r="E117" s="214">
        <v>1</v>
      </c>
      <c r="F117" s="214">
        <v>1</v>
      </c>
      <c r="G117" s="214">
        <v>1</v>
      </c>
      <c r="H117" s="139">
        <v>1</v>
      </c>
      <c r="I117" s="219"/>
      <c r="J117" s="214">
        <v>1</v>
      </c>
      <c r="K117" s="214">
        <v>1</v>
      </c>
      <c r="L117" s="214">
        <v>1</v>
      </c>
      <c r="M117" s="214">
        <v>1</v>
      </c>
      <c r="N117" s="214">
        <v>1</v>
      </c>
      <c r="O117" s="225">
        <v>1</v>
      </c>
      <c r="P117" s="219"/>
      <c r="Q117" s="214">
        <v>1</v>
      </c>
      <c r="R117" s="214">
        <v>1</v>
      </c>
      <c r="S117" s="214">
        <v>1</v>
      </c>
      <c r="T117" s="214"/>
      <c r="U117" s="214"/>
      <c r="V117" s="219"/>
      <c r="W117" s="219"/>
      <c r="X117" s="214"/>
      <c r="Y117" s="219"/>
      <c r="Z117" s="219"/>
      <c r="AA117" s="219"/>
      <c r="AB117" s="219"/>
      <c r="AC117" s="219"/>
      <c r="AD117" s="219"/>
      <c r="AE117" s="214"/>
      <c r="AF117" s="215"/>
      <c r="AG117" s="44">
        <f t="shared" si="16"/>
        <v>14</v>
      </c>
    </row>
    <row r="118" spans="1:33" ht="27" customHeight="1" thickBot="1" x14ac:dyDescent="0.35">
      <c r="A118" s="30" t="s">
        <v>456</v>
      </c>
      <c r="B118" s="220"/>
      <c r="C118" s="210"/>
      <c r="D118" s="210"/>
      <c r="E118" s="210"/>
      <c r="F118" s="210"/>
      <c r="G118" s="210"/>
      <c r="H118" s="4"/>
      <c r="I118" s="166"/>
      <c r="J118" s="210"/>
      <c r="K118" s="210"/>
      <c r="L118" s="210"/>
      <c r="M118" s="210"/>
      <c r="N118" s="210"/>
      <c r="O118" s="226"/>
      <c r="P118" s="166"/>
      <c r="Q118" s="210"/>
      <c r="R118" s="210"/>
      <c r="S118" s="210"/>
      <c r="T118" s="210"/>
      <c r="U118" s="210"/>
      <c r="V118" s="166"/>
      <c r="W118" s="166"/>
      <c r="X118" s="210"/>
      <c r="Y118" s="166"/>
      <c r="Z118" s="166"/>
      <c r="AA118" s="166"/>
      <c r="AB118" s="166"/>
      <c r="AC118" s="166"/>
      <c r="AD118" s="166"/>
      <c r="AE118" s="210"/>
      <c r="AF118" s="216"/>
      <c r="AG118" s="44">
        <f t="shared" si="16"/>
        <v>0</v>
      </c>
    </row>
    <row r="119" spans="1:33" ht="27" customHeight="1" thickBot="1" x14ac:dyDescent="0.35">
      <c r="A119" s="141" t="s">
        <v>452</v>
      </c>
      <c r="B119" s="221"/>
      <c r="C119" s="217"/>
      <c r="D119" s="217">
        <v>1</v>
      </c>
      <c r="E119" s="217"/>
      <c r="F119" s="217"/>
      <c r="G119" s="217"/>
      <c r="H119" s="135"/>
      <c r="I119" s="160"/>
      <c r="J119" s="217"/>
      <c r="K119" s="217"/>
      <c r="L119" s="217">
        <v>1</v>
      </c>
      <c r="M119" s="217"/>
      <c r="N119" s="217"/>
      <c r="O119" s="227"/>
      <c r="P119" s="160"/>
      <c r="Q119" s="217"/>
      <c r="R119" s="217"/>
      <c r="S119" s="217">
        <v>1</v>
      </c>
      <c r="T119" s="217"/>
      <c r="U119" s="217"/>
      <c r="V119" s="160"/>
      <c r="W119" s="160"/>
      <c r="X119" s="217"/>
      <c r="Y119" s="160"/>
      <c r="Z119" s="160"/>
      <c r="AA119" s="160"/>
      <c r="AB119" s="160"/>
      <c r="AC119" s="160"/>
      <c r="AD119" s="160"/>
      <c r="AE119" s="217"/>
      <c r="AF119" s="218"/>
      <c r="AG119" s="44">
        <f t="shared" si="16"/>
        <v>3</v>
      </c>
    </row>
    <row r="120" spans="1:33" ht="27" customHeight="1" thickBot="1" x14ac:dyDescent="0.35">
      <c r="A120" s="46" t="s">
        <v>10</v>
      </c>
      <c r="B120" s="185">
        <f>SUM(B111:B119)</f>
        <v>0</v>
      </c>
      <c r="C120" s="185">
        <f t="shared" ref="C120:AF120" si="17">SUM(C111:C119)</f>
        <v>3</v>
      </c>
      <c r="D120" s="185">
        <f t="shared" si="17"/>
        <v>5</v>
      </c>
      <c r="E120" s="185">
        <f t="shared" si="17"/>
        <v>1</v>
      </c>
      <c r="F120" s="185">
        <f t="shared" si="17"/>
        <v>3</v>
      </c>
      <c r="G120" s="185">
        <f t="shared" si="17"/>
        <v>4</v>
      </c>
      <c r="H120" s="185">
        <f t="shared" si="17"/>
        <v>3</v>
      </c>
      <c r="I120" s="185">
        <f t="shared" si="17"/>
        <v>0</v>
      </c>
      <c r="J120" s="185">
        <f t="shared" si="17"/>
        <v>5</v>
      </c>
      <c r="K120" s="185">
        <f t="shared" si="17"/>
        <v>4</v>
      </c>
      <c r="L120" s="185">
        <f t="shared" si="17"/>
        <v>5</v>
      </c>
      <c r="M120" s="185">
        <f t="shared" si="17"/>
        <v>1</v>
      </c>
      <c r="N120" s="185">
        <f t="shared" si="17"/>
        <v>2</v>
      </c>
      <c r="O120" s="185">
        <f t="shared" si="17"/>
        <v>3</v>
      </c>
      <c r="P120" s="185">
        <f t="shared" si="17"/>
        <v>0</v>
      </c>
      <c r="Q120" s="185">
        <f t="shared" si="17"/>
        <v>3</v>
      </c>
      <c r="R120" s="185">
        <f t="shared" si="17"/>
        <v>3</v>
      </c>
      <c r="S120" s="185">
        <f t="shared" si="17"/>
        <v>6</v>
      </c>
      <c r="T120" s="185">
        <f t="shared" si="17"/>
        <v>3</v>
      </c>
      <c r="U120" s="185">
        <f t="shared" si="17"/>
        <v>2</v>
      </c>
      <c r="V120" s="185">
        <f t="shared" si="17"/>
        <v>0</v>
      </c>
      <c r="W120" s="185">
        <f t="shared" si="17"/>
        <v>0</v>
      </c>
      <c r="X120" s="185">
        <f t="shared" si="17"/>
        <v>0</v>
      </c>
      <c r="Y120" s="185">
        <f t="shared" si="17"/>
        <v>0</v>
      </c>
      <c r="Z120" s="185">
        <f t="shared" si="17"/>
        <v>0</v>
      </c>
      <c r="AA120" s="185">
        <f t="shared" si="17"/>
        <v>0</v>
      </c>
      <c r="AB120" s="185">
        <f t="shared" si="17"/>
        <v>0</v>
      </c>
      <c r="AC120" s="185">
        <f t="shared" si="17"/>
        <v>0</v>
      </c>
      <c r="AD120" s="185">
        <f t="shared" si="17"/>
        <v>0</v>
      </c>
      <c r="AE120" s="185">
        <f t="shared" si="17"/>
        <v>0</v>
      </c>
      <c r="AF120" s="185">
        <f t="shared" si="17"/>
        <v>0</v>
      </c>
      <c r="AG120" s="44">
        <f>SUM(B120:AF120)</f>
        <v>56</v>
      </c>
    </row>
    <row r="121" spans="1:33" ht="15.75" thickBot="1" x14ac:dyDescent="0.3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</row>
    <row r="122" spans="1:33" ht="32.25" thickBot="1" x14ac:dyDescent="0.55000000000000004">
      <c r="A122" s="280" t="s">
        <v>189</v>
      </c>
      <c r="B122" s="281"/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81"/>
      <c r="AB122" s="281"/>
      <c r="AC122" s="281"/>
      <c r="AD122" s="281"/>
      <c r="AE122" s="281"/>
      <c r="AF122" s="281"/>
      <c r="AG122" s="282"/>
    </row>
    <row r="123" spans="1:33" ht="27" customHeight="1" thickBot="1" x14ac:dyDescent="0.35">
      <c r="A123" s="283" t="s">
        <v>330</v>
      </c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84"/>
      <c r="AB123" s="284"/>
      <c r="AC123" s="284"/>
      <c r="AD123" s="284"/>
      <c r="AE123" s="284"/>
      <c r="AF123" s="284"/>
      <c r="AG123" s="285"/>
    </row>
    <row r="124" spans="1:33" ht="27" customHeight="1" thickBot="1" x14ac:dyDescent="0.35">
      <c r="A124" s="27" t="s">
        <v>9</v>
      </c>
      <c r="B124" s="186"/>
      <c r="C124" s="17"/>
      <c r="D124" s="17"/>
      <c r="E124" s="17"/>
      <c r="F124" s="17"/>
      <c r="G124" s="17">
        <v>1</v>
      </c>
      <c r="H124" s="17"/>
      <c r="I124" s="193"/>
      <c r="J124" s="17"/>
      <c r="K124" s="17"/>
      <c r="L124" s="17">
        <v>1</v>
      </c>
      <c r="M124" s="17"/>
      <c r="N124" s="17"/>
      <c r="O124" s="17"/>
      <c r="P124" s="193"/>
      <c r="Q124" s="17"/>
      <c r="R124" s="17"/>
      <c r="S124" s="17">
        <v>1</v>
      </c>
      <c r="T124" s="17"/>
      <c r="U124" s="17"/>
      <c r="V124" s="193"/>
      <c r="W124" s="193"/>
      <c r="X124" s="17"/>
      <c r="Y124" s="193"/>
      <c r="Z124" s="193"/>
      <c r="AA124" s="193"/>
      <c r="AB124" s="193"/>
      <c r="AC124" s="193"/>
      <c r="AD124" s="193"/>
      <c r="AE124" s="17"/>
      <c r="AF124" s="18"/>
      <c r="AG124" s="49">
        <f>SUM(B124:AF124)</f>
        <v>3</v>
      </c>
    </row>
    <row r="125" spans="1:33" ht="27" customHeight="1" thickBot="1" x14ac:dyDescent="0.35">
      <c r="A125" s="30" t="s">
        <v>6</v>
      </c>
      <c r="B125" s="187"/>
      <c r="C125" s="5">
        <v>1</v>
      </c>
      <c r="D125" s="5"/>
      <c r="E125" s="5"/>
      <c r="F125" s="5"/>
      <c r="G125" s="5"/>
      <c r="H125" s="5"/>
      <c r="I125" s="189"/>
      <c r="J125" s="5"/>
      <c r="K125" s="5">
        <v>1</v>
      </c>
      <c r="L125" s="5"/>
      <c r="M125" s="5"/>
      <c r="N125" s="5"/>
      <c r="O125" s="5"/>
      <c r="P125" s="189"/>
      <c r="Q125" s="5">
        <v>1</v>
      </c>
      <c r="R125" s="5"/>
      <c r="S125" s="5"/>
      <c r="T125" s="5"/>
      <c r="U125" s="5"/>
      <c r="V125" s="189"/>
      <c r="W125" s="189"/>
      <c r="X125" s="5"/>
      <c r="Y125" s="189"/>
      <c r="Z125" s="189"/>
      <c r="AA125" s="189"/>
      <c r="AB125" s="189"/>
      <c r="AC125" s="189"/>
      <c r="AD125" s="189"/>
      <c r="AE125" s="5"/>
      <c r="AF125" s="6"/>
      <c r="AG125" s="49">
        <f t="shared" ref="AG125:AG133" si="18">SUM(B125:AF125)</f>
        <v>3</v>
      </c>
    </row>
    <row r="126" spans="1:33" ht="27" customHeight="1" thickBot="1" x14ac:dyDescent="0.35">
      <c r="A126" s="30" t="s">
        <v>460</v>
      </c>
      <c r="B126" s="187"/>
      <c r="C126" s="5"/>
      <c r="D126" s="5"/>
      <c r="E126" s="5"/>
      <c r="F126" s="5"/>
      <c r="G126" s="5">
        <v>1</v>
      </c>
      <c r="H126" s="5"/>
      <c r="I126" s="189"/>
      <c r="J126" s="5"/>
      <c r="K126" s="5"/>
      <c r="L126" s="5"/>
      <c r="M126" s="5"/>
      <c r="N126" s="5"/>
      <c r="O126" s="5"/>
      <c r="P126" s="189"/>
      <c r="Q126" s="5"/>
      <c r="R126" s="5"/>
      <c r="S126" s="5"/>
      <c r="T126" s="5">
        <v>1</v>
      </c>
      <c r="U126" s="5">
        <v>1</v>
      </c>
      <c r="V126" s="189"/>
      <c r="W126" s="189"/>
      <c r="X126" s="5"/>
      <c r="Y126" s="189"/>
      <c r="Z126" s="189"/>
      <c r="AA126" s="189"/>
      <c r="AB126" s="189"/>
      <c r="AC126" s="189"/>
      <c r="AD126" s="189"/>
      <c r="AE126" s="5"/>
      <c r="AF126" s="6"/>
      <c r="AG126" s="49">
        <f t="shared" si="18"/>
        <v>3</v>
      </c>
    </row>
    <row r="127" spans="1:33" ht="27" customHeight="1" thickBot="1" x14ac:dyDescent="0.35">
      <c r="A127" s="30" t="s">
        <v>0</v>
      </c>
      <c r="B127" s="187"/>
      <c r="C127" s="5"/>
      <c r="D127" s="5"/>
      <c r="E127" s="5"/>
      <c r="F127" s="5"/>
      <c r="G127" s="5"/>
      <c r="H127" s="5"/>
      <c r="I127" s="189"/>
      <c r="J127" s="5">
        <v>1</v>
      </c>
      <c r="K127" s="5"/>
      <c r="L127" s="5"/>
      <c r="M127" s="5"/>
      <c r="N127" s="5"/>
      <c r="O127" s="5"/>
      <c r="P127" s="189"/>
      <c r="Q127" s="5"/>
      <c r="R127" s="5"/>
      <c r="S127" s="5"/>
      <c r="T127" s="5"/>
      <c r="U127" s="5"/>
      <c r="V127" s="189"/>
      <c r="W127" s="189"/>
      <c r="X127" s="5"/>
      <c r="Y127" s="189"/>
      <c r="Z127" s="189"/>
      <c r="AA127" s="189"/>
      <c r="AB127" s="189"/>
      <c r="AC127" s="189">
        <v>1</v>
      </c>
      <c r="AD127" s="189"/>
      <c r="AE127" s="5">
        <v>1</v>
      </c>
      <c r="AF127" s="6"/>
      <c r="AG127" s="49">
        <f t="shared" si="18"/>
        <v>3</v>
      </c>
    </row>
    <row r="128" spans="1:33" ht="27" customHeight="1" thickBot="1" x14ac:dyDescent="0.35">
      <c r="A128" s="30" t="s">
        <v>1</v>
      </c>
      <c r="B128" s="187"/>
      <c r="C128" s="5">
        <v>1</v>
      </c>
      <c r="D128" s="5"/>
      <c r="E128" s="5"/>
      <c r="F128" s="5"/>
      <c r="G128" s="5"/>
      <c r="H128" s="5"/>
      <c r="I128" s="189"/>
      <c r="J128" s="5"/>
      <c r="K128" s="5"/>
      <c r="L128" s="5"/>
      <c r="M128" s="5"/>
      <c r="N128" s="5"/>
      <c r="O128" s="5"/>
      <c r="P128" s="189"/>
      <c r="Q128" s="5"/>
      <c r="R128" s="5"/>
      <c r="S128" s="5">
        <v>1</v>
      </c>
      <c r="T128" s="5"/>
      <c r="U128" s="5"/>
      <c r="V128" s="189"/>
      <c r="W128" s="189"/>
      <c r="X128" s="5">
        <v>1</v>
      </c>
      <c r="Y128" s="189"/>
      <c r="Z128" s="189"/>
      <c r="AA128" s="189"/>
      <c r="AB128" s="189"/>
      <c r="AC128" s="189"/>
      <c r="AD128" s="189"/>
      <c r="AE128" s="5"/>
      <c r="AF128" s="6"/>
      <c r="AG128" s="49">
        <f t="shared" si="18"/>
        <v>3</v>
      </c>
    </row>
    <row r="129" spans="1:33" ht="27" customHeight="1" thickBot="1" x14ac:dyDescent="0.35">
      <c r="A129" s="30" t="s">
        <v>3</v>
      </c>
      <c r="B129" s="187"/>
      <c r="C129" s="5"/>
      <c r="D129" s="5"/>
      <c r="E129" s="5"/>
      <c r="F129" s="5"/>
      <c r="G129" s="5"/>
      <c r="H129" s="5"/>
      <c r="I129" s="189"/>
      <c r="J129" s="5"/>
      <c r="K129" s="5"/>
      <c r="L129" s="5">
        <v>1</v>
      </c>
      <c r="M129" s="5"/>
      <c r="N129" s="5"/>
      <c r="O129" s="5"/>
      <c r="P129" s="189"/>
      <c r="Q129" s="5"/>
      <c r="R129" s="5"/>
      <c r="S129" s="5"/>
      <c r="T129" s="5">
        <v>1</v>
      </c>
      <c r="U129" s="5"/>
      <c r="V129" s="189"/>
      <c r="W129" s="189"/>
      <c r="X129" s="5"/>
      <c r="Y129" s="189"/>
      <c r="Z129" s="189"/>
      <c r="AA129" s="189"/>
      <c r="AB129" s="189"/>
      <c r="AC129" s="189"/>
      <c r="AD129" s="189"/>
      <c r="AE129" s="5"/>
      <c r="AF129" s="6"/>
      <c r="AG129" s="49">
        <f t="shared" si="18"/>
        <v>2</v>
      </c>
    </row>
    <row r="130" spans="1:33" ht="27" customHeight="1" thickBot="1" x14ac:dyDescent="0.35">
      <c r="A130" s="30" t="s">
        <v>8</v>
      </c>
      <c r="B130" s="187"/>
      <c r="C130" s="5"/>
      <c r="D130" s="5"/>
      <c r="E130" s="5"/>
      <c r="F130" s="5"/>
      <c r="G130" s="5">
        <v>1</v>
      </c>
      <c r="H130" s="5"/>
      <c r="I130" s="189"/>
      <c r="J130" s="5">
        <v>1</v>
      </c>
      <c r="K130" s="5"/>
      <c r="L130" s="5">
        <v>1</v>
      </c>
      <c r="M130" s="5"/>
      <c r="N130" s="5">
        <v>1</v>
      </c>
      <c r="O130" s="5"/>
      <c r="P130" s="189"/>
      <c r="Q130" s="5"/>
      <c r="R130" s="5"/>
      <c r="S130" s="5"/>
      <c r="T130" s="5"/>
      <c r="U130" s="5"/>
      <c r="V130" s="189"/>
      <c r="W130" s="189"/>
      <c r="X130" s="5">
        <v>1</v>
      </c>
      <c r="Y130" s="189"/>
      <c r="Z130" s="189"/>
      <c r="AA130" s="189"/>
      <c r="AB130" s="189"/>
      <c r="AC130" s="189"/>
      <c r="AD130" s="189"/>
      <c r="AE130" s="5"/>
      <c r="AF130" s="6"/>
      <c r="AG130" s="49">
        <f t="shared" si="18"/>
        <v>5</v>
      </c>
    </row>
    <row r="131" spans="1:33" ht="27" customHeight="1" thickBot="1" x14ac:dyDescent="0.35">
      <c r="A131" s="30" t="s">
        <v>4</v>
      </c>
      <c r="B131" s="187"/>
      <c r="C131" s="5">
        <v>1</v>
      </c>
      <c r="D131" s="5"/>
      <c r="E131" s="5"/>
      <c r="F131" s="5"/>
      <c r="G131" s="5"/>
      <c r="H131" s="5"/>
      <c r="I131" s="189"/>
      <c r="J131" s="5"/>
      <c r="K131" s="5">
        <v>1</v>
      </c>
      <c r="L131" s="5">
        <v>1</v>
      </c>
      <c r="M131" s="5"/>
      <c r="N131" s="5"/>
      <c r="O131" s="5"/>
      <c r="P131" s="189"/>
      <c r="Q131" s="5"/>
      <c r="R131" s="5">
        <v>1</v>
      </c>
      <c r="S131" s="5"/>
      <c r="T131" s="5"/>
      <c r="U131" s="5"/>
      <c r="V131" s="189"/>
      <c r="W131" s="189"/>
      <c r="X131" s="5"/>
      <c r="Y131" s="189"/>
      <c r="Z131" s="189"/>
      <c r="AA131" s="189"/>
      <c r="AB131" s="189"/>
      <c r="AC131" s="189"/>
      <c r="AD131" s="189"/>
      <c r="AE131" s="5"/>
      <c r="AF131" s="6"/>
      <c r="AG131" s="49">
        <f t="shared" si="18"/>
        <v>4</v>
      </c>
    </row>
    <row r="132" spans="1:33" ht="27" customHeight="1" thickBot="1" x14ac:dyDescent="0.35">
      <c r="A132" s="30" t="s">
        <v>7</v>
      </c>
      <c r="B132" s="187"/>
      <c r="C132" s="5"/>
      <c r="D132" s="5"/>
      <c r="E132" s="5"/>
      <c r="F132" s="5"/>
      <c r="G132" s="5"/>
      <c r="H132" s="5"/>
      <c r="I132" s="189"/>
      <c r="J132" s="5"/>
      <c r="K132" s="5"/>
      <c r="L132" s="5"/>
      <c r="M132" s="5"/>
      <c r="N132" s="5"/>
      <c r="O132" s="5"/>
      <c r="P132" s="189"/>
      <c r="Q132" s="5"/>
      <c r="R132" s="5"/>
      <c r="S132" s="5"/>
      <c r="T132" s="5"/>
      <c r="U132" s="5"/>
      <c r="V132" s="189"/>
      <c r="W132" s="189"/>
      <c r="X132" s="5"/>
      <c r="Y132" s="189"/>
      <c r="Z132" s="189"/>
      <c r="AA132" s="189"/>
      <c r="AB132" s="189"/>
      <c r="AC132" s="189"/>
      <c r="AD132" s="189"/>
      <c r="AE132" s="5"/>
      <c r="AF132" s="6"/>
      <c r="AG132" s="49">
        <f t="shared" si="18"/>
        <v>0</v>
      </c>
    </row>
    <row r="133" spans="1:33" ht="27" customHeight="1" thickBot="1" x14ac:dyDescent="0.35">
      <c r="A133" s="32" t="s">
        <v>5</v>
      </c>
      <c r="B133" s="188"/>
      <c r="C133" s="11"/>
      <c r="D133" s="11"/>
      <c r="E133" s="11"/>
      <c r="F133" s="11"/>
      <c r="G133" s="11">
        <v>1</v>
      </c>
      <c r="H133" s="11"/>
      <c r="I133" s="194"/>
      <c r="J133" s="11">
        <v>1</v>
      </c>
      <c r="K133" s="11"/>
      <c r="L133" s="11"/>
      <c r="M133" s="11"/>
      <c r="N133" s="11">
        <v>1</v>
      </c>
      <c r="O133" s="11"/>
      <c r="P133" s="194"/>
      <c r="Q133" s="11"/>
      <c r="R133" s="11"/>
      <c r="S133" s="11"/>
      <c r="T133" s="11"/>
      <c r="U133" s="11"/>
      <c r="V133" s="194"/>
      <c r="W133" s="194"/>
      <c r="X133" s="11"/>
      <c r="Y133" s="194"/>
      <c r="Z133" s="194"/>
      <c r="AA133" s="194">
        <v>1</v>
      </c>
      <c r="AB133" s="194"/>
      <c r="AC133" s="194"/>
      <c r="AD133" s="194"/>
      <c r="AE133" s="11"/>
      <c r="AF133" s="12"/>
      <c r="AG133" s="49">
        <f t="shared" si="18"/>
        <v>4</v>
      </c>
    </row>
    <row r="134" spans="1:33" ht="27" customHeight="1" thickBot="1" x14ac:dyDescent="0.35">
      <c r="A134" s="46" t="s">
        <v>10</v>
      </c>
      <c r="B134" s="76">
        <f>SUM(B124:B133)</f>
        <v>0</v>
      </c>
      <c r="C134" s="76">
        <f t="shared" ref="C134:AF134" si="19">SUM(C124:C133)</f>
        <v>3</v>
      </c>
      <c r="D134" s="76">
        <f t="shared" si="19"/>
        <v>0</v>
      </c>
      <c r="E134" s="76">
        <f t="shared" si="19"/>
        <v>0</v>
      </c>
      <c r="F134" s="76">
        <f t="shared" si="19"/>
        <v>0</v>
      </c>
      <c r="G134" s="76">
        <f t="shared" si="19"/>
        <v>4</v>
      </c>
      <c r="H134" s="76">
        <f t="shared" si="19"/>
        <v>0</v>
      </c>
      <c r="I134" s="76">
        <f t="shared" si="19"/>
        <v>0</v>
      </c>
      <c r="J134" s="76">
        <f t="shared" si="19"/>
        <v>3</v>
      </c>
      <c r="K134" s="76">
        <f t="shared" si="19"/>
        <v>2</v>
      </c>
      <c r="L134" s="76">
        <f t="shared" si="19"/>
        <v>4</v>
      </c>
      <c r="M134" s="76">
        <f t="shared" si="19"/>
        <v>0</v>
      </c>
      <c r="N134" s="76">
        <f t="shared" si="19"/>
        <v>2</v>
      </c>
      <c r="O134" s="76">
        <f t="shared" si="19"/>
        <v>0</v>
      </c>
      <c r="P134" s="76">
        <f t="shared" si="19"/>
        <v>0</v>
      </c>
      <c r="Q134" s="76">
        <f t="shared" si="19"/>
        <v>1</v>
      </c>
      <c r="R134" s="76">
        <f t="shared" si="19"/>
        <v>1</v>
      </c>
      <c r="S134" s="76">
        <f t="shared" si="19"/>
        <v>2</v>
      </c>
      <c r="T134" s="76">
        <f t="shared" si="19"/>
        <v>2</v>
      </c>
      <c r="U134" s="76">
        <f t="shared" si="19"/>
        <v>1</v>
      </c>
      <c r="V134" s="76">
        <f t="shared" si="19"/>
        <v>0</v>
      </c>
      <c r="W134" s="76">
        <f t="shared" si="19"/>
        <v>0</v>
      </c>
      <c r="X134" s="76">
        <f t="shared" si="19"/>
        <v>2</v>
      </c>
      <c r="Y134" s="76">
        <f t="shared" si="19"/>
        <v>0</v>
      </c>
      <c r="Z134" s="76">
        <f t="shared" si="19"/>
        <v>0</v>
      </c>
      <c r="AA134" s="76">
        <f t="shared" si="19"/>
        <v>1</v>
      </c>
      <c r="AB134" s="76">
        <f t="shared" si="19"/>
        <v>0</v>
      </c>
      <c r="AC134" s="76">
        <f t="shared" si="19"/>
        <v>1</v>
      </c>
      <c r="AD134" s="76">
        <f t="shared" si="19"/>
        <v>0</v>
      </c>
      <c r="AE134" s="76">
        <f t="shared" si="19"/>
        <v>1</v>
      </c>
      <c r="AF134" s="76">
        <f t="shared" si="19"/>
        <v>0</v>
      </c>
      <c r="AG134" s="44">
        <f>SUM(B134:AF134)</f>
        <v>30</v>
      </c>
    </row>
    <row r="135" spans="1:33" ht="27" customHeight="1" thickBot="1" x14ac:dyDescent="0.3">
      <c r="A135" s="276" t="s">
        <v>331</v>
      </c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  <c r="Z135" s="277"/>
      <c r="AA135" s="277"/>
      <c r="AB135" s="277"/>
      <c r="AC135" s="277"/>
      <c r="AD135" s="277"/>
      <c r="AE135" s="277"/>
      <c r="AF135" s="277"/>
      <c r="AG135" s="278"/>
    </row>
    <row r="136" spans="1:33" ht="27" customHeight="1" thickBot="1" x14ac:dyDescent="0.35">
      <c r="A136" s="27" t="s">
        <v>434</v>
      </c>
      <c r="B136" s="186"/>
      <c r="C136" s="17"/>
      <c r="D136" s="17"/>
      <c r="E136" s="17"/>
      <c r="F136" s="17"/>
      <c r="G136" s="17"/>
      <c r="H136" s="17"/>
      <c r="I136" s="193"/>
      <c r="J136" s="17"/>
      <c r="K136" s="17"/>
      <c r="L136" s="17"/>
      <c r="M136" s="17"/>
      <c r="N136" s="17"/>
      <c r="O136" s="17"/>
      <c r="P136" s="193"/>
      <c r="Q136" s="17"/>
      <c r="R136" s="17"/>
      <c r="S136" s="17"/>
      <c r="T136" s="17"/>
      <c r="U136" s="17"/>
      <c r="V136" s="193"/>
      <c r="W136" s="193"/>
      <c r="X136" s="17"/>
      <c r="Y136" s="193"/>
      <c r="Z136" s="193"/>
      <c r="AA136" s="193"/>
      <c r="AB136" s="193"/>
      <c r="AC136" s="193"/>
      <c r="AD136" s="193"/>
      <c r="AE136" s="17"/>
      <c r="AF136" s="18"/>
      <c r="AG136" s="49">
        <f>SUM(B136:AF136)</f>
        <v>0</v>
      </c>
    </row>
    <row r="137" spans="1:33" ht="27" customHeight="1" thickBot="1" x14ac:dyDescent="0.35">
      <c r="A137" s="27" t="s">
        <v>431</v>
      </c>
      <c r="B137" s="186"/>
      <c r="C137" s="17"/>
      <c r="D137" s="17"/>
      <c r="E137" s="17"/>
      <c r="F137" s="17"/>
      <c r="G137" s="17"/>
      <c r="H137" s="17"/>
      <c r="I137" s="193"/>
      <c r="J137" s="17"/>
      <c r="K137" s="17"/>
      <c r="L137" s="17"/>
      <c r="M137" s="17"/>
      <c r="N137" s="17"/>
      <c r="O137" s="17"/>
      <c r="P137" s="193"/>
      <c r="Q137" s="17"/>
      <c r="R137" s="17"/>
      <c r="S137" s="17"/>
      <c r="T137" s="17"/>
      <c r="U137" s="17"/>
      <c r="V137" s="193"/>
      <c r="W137" s="193"/>
      <c r="X137" s="17"/>
      <c r="Y137" s="193"/>
      <c r="Z137" s="193"/>
      <c r="AA137" s="193"/>
      <c r="AB137" s="193"/>
      <c r="AC137" s="193"/>
      <c r="AD137" s="193"/>
      <c r="AE137" s="17"/>
      <c r="AF137" s="18"/>
      <c r="AG137" s="49">
        <f>SUM(B137:AF137)</f>
        <v>0</v>
      </c>
    </row>
    <row r="138" spans="1:33" ht="27" customHeight="1" thickBot="1" x14ac:dyDescent="0.35">
      <c r="A138" s="30" t="s">
        <v>12</v>
      </c>
      <c r="B138" s="187"/>
      <c r="C138" s="5"/>
      <c r="D138" s="5"/>
      <c r="E138" s="5"/>
      <c r="F138" s="5"/>
      <c r="G138" s="5">
        <v>1</v>
      </c>
      <c r="H138" s="5"/>
      <c r="I138" s="189"/>
      <c r="J138" s="5"/>
      <c r="K138" s="5"/>
      <c r="L138" s="5"/>
      <c r="M138" s="5"/>
      <c r="N138" s="5"/>
      <c r="O138" s="5"/>
      <c r="P138" s="189"/>
      <c r="Q138" s="5"/>
      <c r="R138" s="5"/>
      <c r="S138" s="5"/>
      <c r="T138" s="5"/>
      <c r="U138" s="5">
        <v>1</v>
      </c>
      <c r="V138" s="189"/>
      <c r="W138" s="189"/>
      <c r="X138" s="5"/>
      <c r="Y138" s="189"/>
      <c r="Z138" s="189"/>
      <c r="AA138" s="189"/>
      <c r="AB138" s="189"/>
      <c r="AC138" s="189"/>
      <c r="AD138" s="189"/>
      <c r="AE138" s="5"/>
      <c r="AF138" s="6"/>
      <c r="AG138" s="49">
        <f t="shared" ref="AG138:AG148" si="20">SUM(B138:AF138)</f>
        <v>2</v>
      </c>
    </row>
    <row r="139" spans="1:33" ht="27" customHeight="1" thickBot="1" x14ac:dyDescent="0.35">
      <c r="A139" s="30" t="s">
        <v>13</v>
      </c>
      <c r="B139" s="187"/>
      <c r="C139" s="5"/>
      <c r="D139" s="5"/>
      <c r="E139" s="5"/>
      <c r="F139" s="5"/>
      <c r="G139" s="5"/>
      <c r="H139" s="5"/>
      <c r="I139" s="189"/>
      <c r="J139" s="5">
        <v>1</v>
      </c>
      <c r="K139" s="5"/>
      <c r="L139" s="5"/>
      <c r="M139" s="5"/>
      <c r="N139" s="5"/>
      <c r="O139" s="5"/>
      <c r="P139" s="189"/>
      <c r="Q139" s="5"/>
      <c r="R139" s="5"/>
      <c r="S139" s="5"/>
      <c r="T139" s="5">
        <v>1</v>
      </c>
      <c r="U139" s="5"/>
      <c r="V139" s="189"/>
      <c r="W139" s="189"/>
      <c r="X139" s="5">
        <v>1</v>
      </c>
      <c r="Y139" s="189"/>
      <c r="Z139" s="189"/>
      <c r="AA139" s="189"/>
      <c r="AB139" s="189"/>
      <c r="AC139" s="189"/>
      <c r="AD139" s="189"/>
      <c r="AE139" s="5"/>
      <c r="AF139" s="6"/>
      <c r="AG139" s="49">
        <f t="shared" si="20"/>
        <v>3</v>
      </c>
    </row>
    <row r="140" spans="1:33" ht="27" customHeight="1" thickBot="1" x14ac:dyDescent="0.35">
      <c r="A140" s="30" t="s">
        <v>14</v>
      </c>
      <c r="B140" s="187"/>
      <c r="C140" s="5"/>
      <c r="D140" s="5">
        <v>1</v>
      </c>
      <c r="E140" s="5"/>
      <c r="F140" s="5"/>
      <c r="G140" s="5"/>
      <c r="H140" s="5"/>
      <c r="I140" s="189"/>
      <c r="J140" s="5"/>
      <c r="K140" s="5"/>
      <c r="L140" s="5"/>
      <c r="M140" s="5"/>
      <c r="N140" s="5"/>
      <c r="O140" s="5">
        <v>1</v>
      </c>
      <c r="P140" s="189"/>
      <c r="Q140" s="5"/>
      <c r="R140" s="5"/>
      <c r="S140" s="5"/>
      <c r="T140" s="5"/>
      <c r="U140" s="5"/>
      <c r="V140" s="189"/>
      <c r="W140" s="189"/>
      <c r="X140" s="5"/>
      <c r="Y140" s="189"/>
      <c r="Z140" s="189"/>
      <c r="AA140" s="189"/>
      <c r="AB140" s="189"/>
      <c r="AC140" s="189"/>
      <c r="AD140" s="189"/>
      <c r="AE140" s="5"/>
      <c r="AF140" s="6"/>
      <c r="AG140" s="49">
        <f t="shared" si="20"/>
        <v>2</v>
      </c>
    </row>
    <row r="141" spans="1:33" ht="27" customHeight="1" thickBot="1" x14ac:dyDescent="0.35">
      <c r="A141" s="30" t="s">
        <v>15</v>
      </c>
      <c r="B141" s="187"/>
      <c r="C141" s="5">
        <v>1</v>
      </c>
      <c r="D141" s="5"/>
      <c r="E141" s="5"/>
      <c r="F141" s="5">
        <v>1</v>
      </c>
      <c r="G141" s="5">
        <v>1</v>
      </c>
      <c r="H141" s="5"/>
      <c r="I141" s="189"/>
      <c r="J141" s="5">
        <v>1</v>
      </c>
      <c r="K141" s="5"/>
      <c r="L141" s="5">
        <v>1</v>
      </c>
      <c r="M141" s="5"/>
      <c r="N141" s="5">
        <v>1</v>
      </c>
      <c r="O141" s="5"/>
      <c r="P141" s="189"/>
      <c r="Q141" s="5"/>
      <c r="R141" s="5"/>
      <c r="S141" s="5">
        <v>1</v>
      </c>
      <c r="T141" s="5">
        <v>1</v>
      </c>
      <c r="U141" s="5">
        <v>1</v>
      </c>
      <c r="V141" s="189"/>
      <c r="W141" s="189"/>
      <c r="X141" s="5"/>
      <c r="Y141" s="189"/>
      <c r="Z141" s="189"/>
      <c r="AA141" s="189"/>
      <c r="AB141" s="189"/>
      <c r="AC141" s="189"/>
      <c r="AD141" s="189"/>
      <c r="AE141" s="5">
        <v>1</v>
      </c>
      <c r="AF141" s="6"/>
      <c r="AG141" s="49">
        <f t="shared" si="20"/>
        <v>10</v>
      </c>
    </row>
    <row r="142" spans="1:33" ht="27" customHeight="1" thickBot="1" x14ac:dyDescent="0.35">
      <c r="A142" s="30" t="s">
        <v>16</v>
      </c>
      <c r="B142" s="187"/>
      <c r="C142" s="5"/>
      <c r="D142" s="5"/>
      <c r="E142" s="5"/>
      <c r="F142" s="5"/>
      <c r="G142" s="5"/>
      <c r="H142" s="5"/>
      <c r="I142" s="189"/>
      <c r="J142" s="5"/>
      <c r="K142" s="5"/>
      <c r="L142" s="5"/>
      <c r="M142" s="5"/>
      <c r="N142" s="5"/>
      <c r="O142" s="5"/>
      <c r="P142" s="189"/>
      <c r="Q142" s="5"/>
      <c r="R142" s="5"/>
      <c r="S142" s="5"/>
      <c r="T142" s="5"/>
      <c r="U142" s="5"/>
      <c r="V142" s="189"/>
      <c r="W142" s="189"/>
      <c r="X142" s="5"/>
      <c r="Y142" s="189"/>
      <c r="Z142" s="189"/>
      <c r="AA142" s="189"/>
      <c r="AB142" s="189"/>
      <c r="AC142" s="189"/>
      <c r="AD142" s="189"/>
      <c r="AE142" s="5"/>
      <c r="AF142" s="6"/>
      <c r="AG142" s="49">
        <f t="shared" si="20"/>
        <v>0</v>
      </c>
    </row>
    <row r="143" spans="1:33" ht="27" customHeight="1" thickBot="1" x14ac:dyDescent="0.35">
      <c r="A143" s="30" t="s">
        <v>17</v>
      </c>
      <c r="B143" s="187"/>
      <c r="C143" s="5">
        <v>1</v>
      </c>
      <c r="D143" s="5"/>
      <c r="E143" s="5"/>
      <c r="F143" s="5"/>
      <c r="G143" s="5"/>
      <c r="H143" s="5"/>
      <c r="I143" s="189"/>
      <c r="J143" s="5">
        <v>1</v>
      </c>
      <c r="K143" s="5">
        <v>1</v>
      </c>
      <c r="L143" s="5">
        <v>1</v>
      </c>
      <c r="M143" s="5"/>
      <c r="N143" s="5"/>
      <c r="O143" s="5"/>
      <c r="P143" s="189"/>
      <c r="Q143" s="5"/>
      <c r="R143" s="5"/>
      <c r="S143" s="5"/>
      <c r="T143" s="5"/>
      <c r="U143" s="5"/>
      <c r="V143" s="189"/>
      <c r="W143" s="189"/>
      <c r="X143" s="5"/>
      <c r="Y143" s="189"/>
      <c r="Z143" s="189"/>
      <c r="AA143" s="189"/>
      <c r="AB143" s="189"/>
      <c r="AC143" s="189"/>
      <c r="AD143" s="189"/>
      <c r="AE143" s="5">
        <v>1</v>
      </c>
      <c r="AF143" s="6"/>
      <c r="AG143" s="49">
        <f t="shared" si="20"/>
        <v>5</v>
      </c>
    </row>
    <row r="144" spans="1:33" ht="27" customHeight="1" thickBot="1" x14ac:dyDescent="0.35">
      <c r="A144" s="30" t="s">
        <v>18</v>
      </c>
      <c r="B144" s="187"/>
      <c r="C144" s="5">
        <v>1</v>
      </c>
      <c r="D144" s="5"/>
      <c r="E144" s="5"/>
      <c r="F144" s="5"/>
      <c r="G144" s="5"/>
      <c r="H144" s="5"/>
      <c r="I144" s="189"/>
      <c r="J144" s="5"/>
      <c r="K144" s="5"/>
      <c r="L144" s="5">
        <v>1</v>
      </c>
      <c r="M144" s="5"/>
      <c r="N144" s="5"/>
      <c r="O144" s="5"/>
      <c r="P144" s="189"/>
      <c r="Q144" s="5"/>
      <c r="R144" s="5"/>
      <c r="S144" s="5"/>
      <c r="T144" s="5"/>
      <c r="U144" s="5"/>
      <c r="V144" s="189"/>
      <c r="W144" s="189"/>
      <c r="X144" s="5"/>
      <c r="Y144" s="189"/>
      <c r="Z144" s="189"/>
      <c r="AA144" s="189"/>
      <c r="AB144" s="189"/>
      <c r="AC144" s="189"/>
      <c r="AD144" s="189"/>
      <c r="AE144" s="5"/>
      <c r="AF144" s="6"/>
      <c r="AG144" s="49">
        <f t="shared" si="20"/>
        <v>2</v>
      </c>
    </row>
    <row r="145" spans="1:33" ht="27" customHeight="1" thickBot="1" x14ac:dyDescent="0.35">
      <c r="A145" s="30" t="s">
        <v>19</v>
      </c>
      <c r="B145" s="187"/>
      <c r="C145" s="5"/>
      <c r="D145" s="5"/>
      <c r="E145" s="5"/>
      <c r="F145" s="5"/>
      <c r="G145" s="5"/>
      <c r="H145" s="5"/>
      <c r="I145" s="189"/>
      <c r="J145" s="5"/>
      <c r="K145" s="5"/>
      <c r="L145" s="5"/>
      <c r="M145" s="5"/>
      <c r="N145" s="5"/>
      <c r="O145" s="5"/>
      <c r="P145" s="189"/>
      <c r="Q145" s="5"/>
      <c r="R145" s="5"/>
      <c r="S145" s="5"/>
      <c r="T145" s="5"/>
      <c r="U145" s="5"/>
      <c r="V145" s="189"/>
      <c r="W145" s="189"/>
      <c r="X145" s="5"/>
      <c r="Y145" s="189"/>
      <c r="Z145" s="189"/>
      <c r="AA145" s="189"/>
      <c r="AB145" s="189"/>
      <c r="AC145" s="189"/>
      <c r="AD145" s="189"/>
      <c r="AE145" s="5"/>
      <c r="AF145" s="6"/>
      <c r="AG145" s="49">
        <f t="shared" si="20"/>
        <v>0</v>
      </c>
    </row>
    <row r="146" spans="1:33" ht="27" customHeight="1" thickBot="1" x14ac:dyDescent="0.35">
      <c r="A146" s="30" t="s">
        <v>20</v>
      </c>
      <c r="B146" s="187"/>
      <c r="C146" s="5"/>
      <c r="D146" s="5"/>
      <c r="E146" s="5"/>
      <c r="F146" s="5"/>
      <c r="G146" s="5"/>
      <c r="H146" s="5"/>
      <c r="I146" s="189"/>
      <c r="J146" s="5"/>
      <c r="K146" s="5"/>
      <c r="L146" s="5"/>
      <c r="M146" s="5"/>
      <c r="N146" s="5"/>
      <c r="O146" s="5"/>
      <c r="P146" s="189"/>
      <c r="Q146" s="5"/>
      <c r="R146" s="5"/>
      <c r="S146" s="5"/>
      <c r="T146" s="5"/>
      <c r="U146" s="5"/>
      <c r="V146" s="189"/>
      <c r="W146" s="189"/>
      <c r="X146" s="5"/>
      <c r="Y146" s="189"/>
      <c r="Z146" s="189"/>
      <c r="AA146" s="189"/>
      <c r="AB146" s="189"/>
      <c r="AC146" s="189"/>
      <c r="AD146" s="189"/>
      <c r="AE146" s="5"/>
      <c r="AF146" s="6"/>
      <c r="AG146" s="49">
        <f t="shared" si="20"/>
        <v>0</v>
      </c>
    </row>
    <row r="147" spans="1:33" ht="27" customHeight="1" thickBot="1" x14ac:dyDescent="0.35">
      <c r="A147" s="30" t="s">
        <v>21</v>
      </c>
      <c r="B147" s="187"/>
      <c r="C147" s="5"/>
      <c r="D147" s="5"/>
      <c r="E147" s="5"/>
      <c r="F147" s="5"/>
      <c r="G147" s="5"/>
      <c r="H147" s="5"/>
      <c r="I147" s="189"/>
      <c r="J147" s="5">
        <v>1</v>
      </c>
      <c r="K147" s="5"/>
      <c r="L147" s="5"/>
      <c r="M147" s="5"/>
      <c r="N147" s="5">
        <v>1</v>
      </c>
      <c r="O147" s="5"/>
      <c r="P147" s="189"/>
      <c r="Q147" s="5"/>
      <c r="R147" s="5"/>
      <c r="S147" s="5"/>
      <c r="T147" s="5"/>
      <c r="U147" s="5"/>
      <c r="V147" s="189"/>
      <c r="W147" s="189"/>
      <c r="X147" s="5"/>
      <c r="Y147" s="189"/>
      <c r="Z147" s="189"/>
      <c r="AA147" s="189"/>
      <c r="AB147" s="189"/>
      <c r="AC147" s="189"/>
      <c r="AD147" s="189"/>
      <c r="AE147" s="5"/>
      <c r="AF147" s="6"/>
      <c r="AG147" s="49">
        <f t="shared" si="20"/>
        <v>2</v>
      </c>
    </row>
    <row r="148" spans="1:33" ht="27" customHeight="1" thickBot="1" x14ac:dyDescent="0.35">
      <c r="A148" s="32" t="s">
        <v>22</v>
      </c>
      <c r="B148" s="188"/>
      <c r="C148" s="11"/>
      <c r="D148" s="11"/>
      <c r="E148" s="11"/>
      <c r="F148" s="11"/>
      <c r="G148" s="11"/>
      <c r="H148" s="11"/>
      <c r="I148" s="194"/>
      <c r="J148" s="11"/>
      <c r="K148" s="11"/>
      <c r="L148" s="11"/>
      <c r="M148" s="11"/>
      <c r="N148" s="11"/>
      <c r="O148" s="11"/>
      <c r="P148" s="194"/>
      <c r="Q148" s="11"/>
      <c r="R148" s="11">
        <v>1</v>
      </c>
      <c r="S148" s="11"/>
      <c r="T148" s="11">
        <v>1</v>
      </c>
      <c r="U148" s="11"/>
      <c r="V148" s="194"/>
      <c r="W148" s="194"/>
      <c r="X148" s="11"/>
      <c r="Y148" s="194"/>
      <c r="Z148" s="194"/>
      <c r="AA148" s="194"/>
      <c r="AB148" s="194"/>
      <c r="AC148" s="194"/>
      <c r="AD148" s="194"/>
      <c r="AE148" s="11"/>
      <c r="AF148" s="12"/>
      <c r="AG148" s="49">
        <f t="shared" si="20"/>
        <v>2</v>
      </c>
    </row>
    <row r="149" spans="1:33" ht="27" customHeight="1" thickBot="1" x14ac:dyDescent="0.35">
      <c r="A149" s="46" t="s">
        <v>10</v>
      </c>
      <c r="B149" s="76">
        <f>SUM(B136:B148)</f>
        <v>0</v>
      </c>
      <c r="C149" s="76">
        <f t="shared" ref="C149:AF149" si="21">SUM(C136:C148)</f>
        <v>3</v>
      </c>
      <c r="D149" s="76">
        <f t="shared" si="21"/>
        <v>1</v>
      </c>
      <c r="E149" s="76">
        <f t="shared" si="21"/>
        <v>0</v>
      </c>
      <c r="F149" s="76">
        <f t="shared" si="21"/>
        <v>1</v>
      </c>
      <c r="G149" s="76">
        <f t="shared" si="21"/>
        <v>2</v>
      </c>
      <c r="H149" s="76">
        <f t="shared" si="21"/>
        <v>0</v>
      </c>
      <c r="I149" s="76">
        <f t="shared" si="21"/>
        <v>0</v>
      </c>
      <c r="J149" s="76">
        <f t="shared" si="21"/>
        <v>4</v>
      </c>
      <c r="K149" s="76">
        <f t="shared" si="21"/>
        <v>1</v>
      </c>
      <c r="L149" s="76">
        <f t="shared" si="21"/>
        <v>3</v>
      </c>
      <c r="M149" s="76">
        <f t="shared" si="21"/>
        <v>0</v>
      </c>
      <c r="N149" s="76">
        <f t="shared" si="21"/>
        <v>2</v>
      </c>
      <c r="O149" s="76">
        <f t="shared" si="21"/>
        <v>1</v>
      </c>
      <c r="P149" s="76">
        <f t="shared" si="21"/>
        <v>0</v>
      </c>
      <c r="Q149" s="76">
        <f t="shared" si="21"/>
        <v>0</v>
      </c>
      <c r="R149" s="76">
        <f t="shared" si="21"/>
        <v>1</v>
      </c>
      <c r="S149" s="76">
        <f t="shared" si="21"/>
        <v>1</v>
      </c>
      <c r="T149" s="76">
        <f t="shared" si="21"/>
        <v>3</v>
      </c>
      <c r="U149" s="76">
        <f t="shared" si="21"/>
        <v>2</v>
      </c>
      <c r="V149" s="76">
        <f t="shared" si="21"/>
        <v>0</v>
      </c>
      <c r="W149" s="76">
        <f t="shared" si="21"/>
        <v>0</v>
      </c>
      <c r="X149" s="76">
        <f t="shared" si="21"/>
        <v>1</v>
      </c>
      <c r="Y149" s="76">
        <f t="shared" si="21"/>
        <v>0</v>
      </c>
      <c r="Z149" s="76">
        <f t="shared" si="21"/>
        <v>0</v>
      </c>
      <c r="AA149" s="76">
        <f t="shared" si="21"/>
        <v>0</v>
      </c>
      <c r="AB149" s="76">
        <f t="shared" si="21"/>
        <v>0</v>
      </c>
      <c r="AC149" s="76">
        <f t="shared" si="21"/>
        <v>0</v>
      </c>
      <c r="AD149" s="76">
        <f t="shared" si="21"/>
        <v>0</v>
      </c>
      <c r="AE149" s="76">
        <f t="shared" si="21"/>
        <v>2</v>
      </c>
      <c r="AF149" s="76">
        <f t="shared" si="21"/>
        <v>0</v>
      </c>
      <c r="AG149" s="44">
        <f>SUM(B149:AF149)</f>
        <v>28</v>
      </c>
    </row>
    <row r="150" spans="1:33" ht="27" customHeight="1" thickBot="1" x14ac:dyDescent="0.3">
      <c r="A150" s="276" t="s">
        <v>332</v>
      </c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77"/>
      <c r="AB150" s="277"/>
      <c r="AC150" s="277"/>
      <c r="AD150" s="277"/>
      <c r="AE150" s="277"/>
      <c r="AF150" s="277"/>
      <c r="AG150" s="278"/>
    </row>
    <row r="151" spans="1:33" ht="27" customHeight="1" thickBot="1" x14ac:dyDescent="0.35">
      <c r="A151" s="27" t="s">
        <v>25</v>
      </c>
      <c r="B151" s="186"/>
      <c r="C151" s="17"/>
      <c r="D151" s="17"/>
      <c r="E151" s="17"/>
      <c r="F151" s="17"/>
      <c r="G151" s="17">
        <v>1</v>
      </c>
      <c r="H151" s="17"/>
      <c r="I151" s="193">
        <v>1</v>
      </c>
      <c r="J151" s="17"/>
      <c r="K151" s="17">
        <v>1</v>
      </c>
      <c r="L151" s="17"/>
      <c r="M151" s="17"/>
      <c r="N151" s="17"/>
      <c r="O151" s="17"/>
      <c r="P151" s="193">
        <v>1</v>
      </c>
      <c r="Q151" s="17"/>
      <c r="R151" s="17"/>
      <c r="S151" s="17"/>
      <c r="T151" s="17"/>
      <c r="U151" s="17"/>
      <c r="V151" s="193"/>
      <c r="W151" s="193">
        <v>1</v>
      </c>
      <c r="X151" s="17"/>
      <c r="Y151" s="193"/>
      <c r="Z151" s="193"/>
      <c r="AA151" s="193"/>
      <c r="AB151" s="193"/>
      <c r="AC151" s="193"/>
      <c r="AD151" s="193">
        <v>1</v>
      </c>
      <c r="AE151" s="17"/>
      <c r="AF151" s="18"/>
      <c r="AG151" s="49">
        <f>SUM(B151:AF151)</f>
        <v>6</v>
      </c>
    </row>
    <row r="152" spans="1:33" ht="27" customHeight="1" thickBot="1" x14ac:dyDescent="0.35">
      <c r="A152" s="30" t="s">
        <v>33</v>
      </c>
      <c r="B152" s="187"/>
      <c r="C152" s="5"/>
      <c r="D152" s="5"/>
      <c r="E152" s="5"/>
      <c r="F152" s="5"/>
      <c r="G152" s="5"/>
      <c r="H152" s="5"/>
      <c r="I152" s="189"/>
      <c r="J152" s="5"/>
      <c r="K152" s="5"/>
      <c r="L152" s="5"/>
      <c r="M152" s="5"/>
      <c r="N152" s="5"/>
      <c r="O152" s="5"/>
      <c r="P152" s="189"/>
      <c r="Q152" s="5"/>
      <c r="R152" s="5"/>
      <c r="S152" s="5"/>
      <c r="T152" s="5"/>
      <c r="U152" s="5"/>
      <c r="V152" s="189"/>
      <c r="W152" s="189"/>
      <c r="X152" s="5"/>
      <c r="Y152" s="189"/>
      <c r="Z152" s="189"/>
      <c r="AA152" s="189"/>
      <c r="AB152" s="189"/>
      <c r="AC152" s="189"/>
      <c r="AD152" s="189"/>
      <c r="AE152" s="5"/>
      <c r="AF152" s="6"/>
      <c r="AG152" s="49">
        <f t="shared" ref="AG152:AG164" si="22">SUM(B152:AF152)</f>
        <v>0</v>
      </c>
    </row>
    <row r="153" spans="1:33" ht="27" customHeight="1" thickBot="1" x14ac:dyDescent="0.35">
      <c r="A153" s="30" t="s">
        <v>35</v>
      </c>
      <c r="B153" s="187">
        <v>1</v>
      </c>
      <c r="C153" s="5"/>
      <c r="D153" s="5"/>
      <c r="E153" s="5"/>
      <c r="F153" s="5"/>
      <c r="G153" s="5"/>
      <c r="H153" s="5"/>
      <c r="I153" s="189"/>
      <c r="J153" s="5"/>
      <c r="K153" s="5"/>
      <c r="L153" s="5"/>
      <c r="M153" s="5"/>
      <c r="N153" s="5"/>
      <c r="O153" s="5"/>
      <c r="P153" s="189"/>
      <c r="Q153" s="5"/>
      <c r="R153" s="5"/>
      <c r="S153" s="5"/>
      <c r="T153" s="5"/>
      <c r="U153" s="5"/>
      <c r="V153" s="189"/>
      <c r="W153" s="189"/>
      <c r="X153" s="5"/>
      <c r="Y153" s="189"/>
      <c r="Z153" s="189"/>
      <c r="AA153" s="189"/>
      <c r="AB153" s="189"/>
      <c r="AC153" s="189"/>
      <c r="AD153" s="189"/>
      <c r="AE153" s="5"/>
      <c r="AF153" s="6"/>
      <c r="AG153" s="49">
        <f t="shared" si="22"/>
        <v>1</v>
      </c>
    </row>
    <row r="154" spans="1:33" ht="27" customHeight="1" thickBot="1" x14ac:dyDescent="0.35">
      <c r="A154" s="30" t="s">
        <v>23</v>
      </c>
      <c r="B154" s="187"/>
      <c r="C154" s="5"/>
      <c r="D154" s="5"/>
      <c r="E154" s="5"/>
      <c r="F154" s="5"/>
      <c r="G154" s="5"/>
      <c r="H154" s="5"/>
      <c r="I154" s="189"/>
      <c r="J154" s="5">
        <v>1</v>
      </c>
      <c r="K154" s="5"/>
      <c r="L154" s="5"/>
      <c r="M154" s="5"/>
      <c r="N154" s="5"/>
      <c r="O154" s="5"/>
      <c r="P154" s="189"/>
      <c r="Q154" s="5"/>
      <c r="R154" s="5"/>
      <c r="S154" s="5">
        <v>1</v>
      </c>
      <c r="T154" s="5"/>
      <c r="U154" s="5"/>
      <c r="V154" s="189"/>
      <c r="W154" s="189"/>
      <c r="X154" s="5"/>
      <c r="Y154" s="189"/>
      <c r="Z154" s="189"/>
      <c r="AA154" s="189"/>
      <c r="AB154" s="189"/>
      <c r="AC154" s="189"/>
      <c r="AD154" s="189"/>
      <c r="AE154" s="5">
        <v>1</v>
      </c>
      <c r="AF154" s="6"/>
      <c r="AG154" s="49">
        <f t="shared" si="22"/>
        <v>3</v>
      </c>
    </row>
    <row r="155" spans="1:33" ht="27" customHeight="1" thickBot="1" x14ac:dyDescent="0.35">
      <c r="A155" s="30" t="s">
        <v>30</v>
      </c>
      <c r="B155" s="187"/>
      <c r="C155" s="5"/>
      <c r="D155" s="5">
        <v>1</v>
      </c>
      <c r="E155" s="5"/>
      <c r="F155" s="5"/>
      <c r="G155" s="5"/>
      <c r="H155" s="5"/>
      <c r="I155" s="189"/>
      <c r="J155" s="5">
        <v>1</v>
      </c>
      <c r="K155" s="5"/>
      <c r="L155" s="5"/>
      <c r="M155" s="5"/>
      <c r="N155" s="5"/>
      <c r="O155" s="5"/>
      <c r="P155" s="189"/>
      <c r="Q155" s="5"/>
      <c r="R155" s="5"/>
      <c r="S155" s="5"/>
      <c r="T155" s="5">
        <v>1</v>
      </c>
      <c r="U155" s="5"/>
      <c r="V155" s="189"/>
      <c r="W155" s="189">
        <v>1</v>
      </c>
      <c r="X155" s="5"/>
      <c r="Y155" s="189"/>
      <c r="Z155" s="189"/>
      <c r="AA155" s="189"/>
      <c r="AB155" s="189"/>
      <c r="AC155" s="189"/>
      <c r="AD155" s="189"/>
      <c r="AE155" s="5"/>
      <c r="AF155" s="6"/>
      <c r="AG155" s="49">
        <f t="shared" si="22"/>
        <v>4</v>
      </c>
    </row>
    <row r="156" spans="1:33" ht="27" customHeight="1" thickBot="1" x14ac:dyDescent="0.35">
      <c r="A156" s="30" t="s">
        <v>34</v>
      </c>
      <c r="B156" s="187"/>
      <c r="C156" s="5"/>
      <c r="D156" s="5"/>
      <c r="E156" s="5"/>
      <c r="F156" s="5"/>
      <c r="G156" s="5"/>
      <c r="H156" s="5"/>
      <c r="I156" s="189"/>
      <c r="J156" s="5"/>
      <c r="K156" s="5"/>
      <c r="L156" s="5"/>
      <c r="M156" s="5"/>
      <c r="N156" s="5"/>
      <c r="O156" s="5"/>
      <c r="P156" s="189"/>
      <c r="Q156" s="5"/>
      <c r="R156" s="5"/>
      <c r="S156" s="5"/>
      <c r="T156" s="5"/>
      <c r="U156" s="5"/>
      <c r="V156" s="189"/>
      <c r="W156" s="189"/>
      <c r="X156" s="5"/>
      <c r="Y156" s="189"/>
      <c r="Z156" s="189"/>
      <c r="AA156" s="189"/>
      <c r="AB156" s="189"/>
      <c r="AC156" s="189"/>
      <c r="AD156" s="189"/>
      <c r="AE156" s="5"/>
      <c r="AF156" s="6"/>
      <c r="AG156" s="49">
        <f t="shared" si="22"/>
        <v>0</v>
      </c>
    </row>
    <row r="157" spans="1:33" ht="27" customHeight="1" thickBot="1" x14ac:dyDescent="0.35">
      <c r="A157" s="30" t="s">
        <v>24</v>
      </c>
      <c r="B157" s="187"/>
      <c r="C157" s="5">
        <v>1</v>
      </c>
      <c r="D157" s="5"/>
      <c r="E157" s="5"/>
      <c r="F157" s="5"/>
      <c r="G157" s="5"/>
      <c r="H157" s="5"/>
      <c r="I157" s="189"/>
      <c r="J157" s="5"/>
      <c r="K157" s="5"/>
      <c r="L157" s="5"/>
      <c r="M157" s="5"/>
      <c r="N157" s="5"/>
      <c r="O157" s="5"/>
      <c r="P157" s="189"/>
      <c r="Q157" s="5"/>
      <c r="R157" s="5"/>
      <c r="S157" s="5"/>
      <c r="T157" s="5"/>
      <c r="U157" s="5"/>
      <c r="V157" s="189"/>
      <c r="W157" s="189"/>
      <c r="X157" s="5"/>
      <c r="Y157" s="189"/>
      <c r="Z157" s="189"/>
      <c r="AA157" s="189"/>
      <c r="AB157" s="189"/>
      <c r="AC157" s="189"/>
      <c r="AD157" s="189"/>
      <c r="AE157" s="5">
        <v>1</v>
      </c>
      <c r="AF157" s="6"/>
      <c r="AG157" s="49">
        <f t="shared" si="22"/>
        <v>2</v>
      </c>
    </row>
    <row r="158" spans="1:33" ht="27" customHeight="1" thickBot="1" x14ac:dyDescent="0.35">
      <c r="A158" s="30" t="s">
        <v>462</v>
      </c>
      <c r="B158" s="187"/>
      <c r="C158" s="5"/>
      <c r="D158" s="5">
        <v>1</v>
      </c>
      <c r="E158" s="5"/>
      <c r="F158" s="5"/>
      <c r="G158" s="5"/>
      <c r="H158" s="5"/>
      <c r="I158" s="189"/>
      <c r="J158" s="5"/>
      <c r="K158" s="5"/>
      <c r="L158" s="5"/>
      <c r="M158" s="5"/>
      <c r="N158" s="5"/>
      <c r="O158" s="5"/>
      <c r="P158" s="189"/>
      <c r="Q158" s="5"/>
      <c r="R158" s="5"/>
      <c r="S158" s="5">
        <v>1</v>
      </c>
      <c r="T158" s="5"/>
      <c r="U158" s="5">
        <v>1</v>
      </c>
      <c r="V158" s="189"/>
      <c r="W158" s="189"/>
      <c r="X158" s="5"/>
      <c r="Y158" s="189"/>
      <c r="Z158" s="189"/>
      <c r="AA158" s="189"/>
      <c r="AB158" s="189"/>
      <c r="AC158" s="189"/>
      <c r="AD158" s="189"/>
      <c r="AE158" s="5"/>
      <c r="AF158" s="6"/>
      <c r="AG158" s="49">
        <f t="shared" si="22"/>
        <v>3</v>
      </c>
    </row>
    <row r="159" spans="1:33" ht="27" customHeight="1" thickBot="1" x14ac:dyDescent="0.35">
      <c r="A159" s="30" t="s">
        <v>32</v>
      </c>
      <c r="B159" s="187"/>
      <c r="C159" s="5"/>
      <c r="D159" s="5"/>
      <c r="E159" s="5"/>
      <c r="F159" s="5"/>
      <c r="G159" s="5"/>
      <c r="H159" s="5"/>
      <c r="I159" s="189"/>
      <c r="J159" s="5"/>
      <c r="K159" s="5"/>
      <c r="L159" s="5"/>
      <c r="M159" s="5"/>
      <c r="N159" s="5"/>
      <c r="O159" s="5"/>
      <c r="P159" s="189"/>
      <c r="Q159" s="5"/>
      <c r="R159" s="5"/>
      <c r="S159" s="5"/>
      <c r="T159" s="5"/>
      <c r="U159" s="5"/>
      <c r="V159" s="189"/>
      <c r="W159" s="189"/>
      <c r="X159" s="5"/>
      <c r="Y159" s="189"/>
      <c r="Z159" s="189"/>
      <c r="AA159" s="189"/>
      <c r="AB159" s="189"/>
      <c r="AC159" s="189"/>
      <c r="AD159" s="189"/>
      <c r="AE159" s="5"/>
      <c r="AF159" s="6"/>
      <c r="AG159" s="49">
        <f t="shared" si="22"/>
        <v>0</v>
      </c>
    </row>
    <row r="160" spans="1:33" ht="27" customHeight="1" thickBot="1" x14ac:dyDescent="0.35">
      <c r="A160" s="30" t="s">
        <v>29</v>
      </c>
      <c r="B160" s="187"/>
      <c r="C160" s="5">
        <v>1</v>
      </c>
      <c r="D160" s="5">
        <v>1</v>
      </c>
      <c r="E160" s="5">
        <v>1</v>
      </c>
      <c r="F160" s="5">
        <v>1</v>
      </c>
      <c r="G160" s="5">
        <v>1</v>
      </c>
      <c r="H160" s="5">
        <v>1</v>
      </c>
      <c r="I160" s="189"/>
      <c r="J160" s="5">
        <v>1</v>
      </c>
      <c r="K160" s="5">
        <v>1</v>
      </c>
      <c r="L160" s="5">
        <v>1</v>
      </c>
      <c r="M160" s="5">
        <v>1</v>
      </c>
      <c r="N160" s="5">
        <v>1</v>
      </c>
      <c r="O160" s="5">
        <v>1</v>
      </c>
      <c r="P160" s="189"/>
      <c r="Q160" s="5">
        <v>1</v>
      </c>
      <c r="R160" s="5">
        <v>1</v>
      </c>
      <c r="S160" s="5">
        <v>1</v>
      </c>
      <c r="T160" s="5">
        <v>1</v>
      </c>
      <c r="U160" s="5">
        <v>1</v>
      </c>
      <c r="V160" s="189"/>
      <c r="W160" s="189">
        <v>1</v>
      </c>
      <c r="X160" s="5">
        <v>1</v>
      </c>
      <c r="Y160" s="189"/>
      <c r="Z160" s="189">
        <v>1</v>
      </c>
      <c r="AA160" s="189">
        <v>1</v>
      </c>
      <c r="AB160" s="189"/>
      <c r="AC160" s="189"/>
      <c r="AD160" s="189"/>
      <c r="AE160" s="5">
        <v>1</v>
      </c>
      <c r="AF160" s="6">
        <v>1</v>
      </c>
      <c r="AG160" s="49">
        <f t="shared" si="22"/>
        <v>23</v>
      </c>
    </row>
    <row r="161" spans="1:33" ht="27" customHeight="1" thickBot="1" x14ac:dyDescent="0.35">
      <c r="A161" s="30" t="s">
        <v>28</v>
      </c>
      <c r="B161" s="187"/>
      <c r="C161" s="5"/>
      <c r="D161" s="5"/>
      <c r="E161" s="5"/>
      <c r="F161" s="5"/>
      <c r="G161" s="5"/>
      <c r="H161" s="5"/>
      <c r="I161" s="189"/>
      <c r="J161" s="5">
        <v>1</v>
      </c>
      <c r="K161" s="5"/>
      <c r="L161" s="5"/>
      <c r="M161" s="5"/>
      <c r="N161" s="5"/>
      <c r="O161" s="5">
        <v>1</v>
      </c>
      <c r="P161" s="189">
        <v>1</v>
      </c>
      <c r="Q161" s="5"/>
      <c r="R161" s="5"/>
      <c r="S161" s="5"/>
      <c r="T161" s="5"/>
      <c r="U161" s="5"/>
      <c r="V161" s="189"/>
      <c r="W161" s="189"/>
      <c r="X161" s="5"/>
      <c r="Y161" s="189"/>
      <c r="Z161" s="189"/>
      <c r="AA161" s="189"/>
      <c r="AB161" s="189"/>
      <c r="AC161" s="189"/>
      <c r="AD161" s="189"/>
      <c r="AE161" s="5"/>
      <c r="AF161" s="6"/>
      <c r="AG161" s="49">
        <f t="shared" si="22"/>
        <v>3</v>
      </c>
    </row>
    <row r="162" spans="1:33" ht="27" customHeight="1" thickBot="1" x14ac:dyDescent="0.35">
      <c r="A162" s="30" t="s">
        <v>26</v>
      </c>
      <c r="B162" s="187"/>
      <c r="C162" s="5"/>
      <c r="D162" s="5"/>
      <c r="E162" s="5"/>
      <c r="F162" s="5">
        <v>1</v>
      </c>
      <c r="G162" s="5"/>
      <c r="H162" s="5"/>
      <c r="I162" s="189"/>
      <c r="J162" s="5"/>
      <c r="K162" s="5"/>
      <c r="L162" s="5"/>
      <c r="M162" s="5"/>
      <c r="N162" s="5">
        <v>1</v>
      </c>
      <c r="O162" s="5"/>
      <c r="P162" s="189"/>
      <c r="Q162" s="5"/>
      <c r="R162" s="5"/>
      <c r="S162" s="5"/>
      <c r="T162" s="5"/>
      <c r="U162" s="5"/>
      <c r="V162" s="189"/>
      <c r="W162" s="189"/>
      <c r="X162" s="5"/>
      <c r="Y162" s="189"/>
      <c r="Z162" s="189"/>
      <c r="AA162" s="189"/>
      <c r="AB162" s="189"/>
      <c r="AC162" s="189"/>
      <c r="AD162" s="189"/>
      <c r="AE162" s="5"/>
      <c r="AF162" s="6"/>
      <c r="AG162" s="49">
        <f t="shared" si="22"/>
        <v>2</v>
      </c>
    </row>
    <row r="163" spans="1:33" ht="27" customHeight="1" thickBot="1" x14ac:dyDescent="0.35">
      <c r="A163" s="30" t="s">
        <v>27</v>
      </c>
      <c r="B163" s="187"/>
      <c r="C163" s="5"/>
      <c r="D163" s="5"/>
      <c r="E163" s="5"/>
      <c r="F163" s="5"/>
      <c r="G163" s="5">
        <v>1</v>
      </c>
      <c r="H163" s="5"/>
      <c r="I163" s="189"/>
      <c r="J163" s="5"/>
      <c r="K163" s="5"/>
      <c r="L163" s="5"/>
      <c r="M163" s="5"/>
      <c r="N163" s="5"/>
      <c r="O163" s="5"/>
      <c r="P163" s="189"/>
      <c r="Q163" s="5"/>
      <c r="R163" s="5"/>
      <c r="S163" s="5"/>
      <c r="T163" s="5"/>
      <c r="U163" s="5"/>
      <c r="V163" s="189"/>
      <c r="W163" s="189"/>
      <c r="X163" s="5"/>
      <c r="Y163" s="189"/>
      <c r="Z163" s="189"/>
      <c r="AA163" s="189"/>
      <c r="AB163" s="189"/>
      <c r="AC163" s="189"/>
      <c r="AD163" s="189"/>
      <c r="AE163" s="5"/>
      <c r="AF163" s="6"/>
      <c r="AG163" s="49">
        <f t="shared" si="22"/>
        <v>1</v>
      </c>
    </row>
    <row r="164" spans="1:33" ht="27" customHeight="1" thickBot="1" x14ac:dyDescent="0.35">
      <c r="A164" s="32" t="s">
        <v>31</v>
      </c>
      <c r="B164" s="188"/>
      <c r="C164" s="11"/>
      <c r="D164" s="11"/>
      <c r="E164" s="11"/>
      <c r="F164" s="11"/>
      <c r="G164" s="11"/>
      <c r="H164" s="11"/>
      <c r="I164" s="194"/>
      <c r="J164" s="11"/>
      <c r="K164" s="11"/>
      <c r="L164" s="11"/>
      <c r="M164" s="11"/>
      <c r="N164" s="11"/>
      <c r="O164" s="11"/>
      <c r="P164" s="194"/>
      <c r="Q164" s="11"/>
      <c r="R164" s="11"/>
      <c r="S164" s="11"/>
      <c r="T164" s="11"/>
      <c r="U164" s="11"/>
      <c r="V164" s="194"/>
      <c r="W164" s="194"/>
      <c r="X164" s="11"/>
      <c r="Y164" s="194"/>
      <c r="Z164" s="194"/>
      <c r="AA164" s="194"/>
      <c r="AB164" s="194"/>
      <c r="AC164" s="194"/>
      <c r="AD164" s="194"/>
      <c r="AE164" s="11"/>
      <c r="AF164" s="12"/>
      <c r="AG164" s="49">
        <f t="shared" si="22"/>
        <v>0</v>
      </c>
    </row>
    <row r="165" spans="1:33" ht="27" customHeight="1" thickBot="1" x14ac:dyDescent="0.35">
      <c r="A165" s="46" t="s">
        <v>10</v>
      </c>
      <c r="B165" s="76">
        <f>SUM(B151:B164)</f>
        <v>1</v>
      </c>
      <c r="C165" s="76">
        <f t="shared" ref="C165:AF165" si="23">SUM(C151:C164)</f>
        <v>2</v>
      </c>
      <c r="D165" s="76">
        <f t="shared" si="23"/>
        <v>3</v>
      </c>
      <c r="E165" s="76">
        <f t="shared" si="23"/>
        <v>1</v>
      </c>
      <c r="F165" s="76">
        <f t="shared" si="23"/>
        <v>2</v>
      </c>
      <c r="G165" s="76">
        <f t="shared" si="23"/>
        <v>3</v>
      </c>
      <c r="H165" s="76">
        <f t="shared" si="23"/>
        <v>1</v>
      </c>
      <c r="I165" s="76">
        <f t="shared" si="23"/>
        <v>1</v>
      </c>
      <c r="J165" s="76">
        <f t="shared" si="23"/>
        <v>4</v>
      </c>
      <c r="K165" s="76">
        <f t="shared" si="23"/>
        <v>2</v>
      </c>
      <c r="L165" s="76">
        <f t="shared" si="23"/>
        <v>1</v>
      </c>
      <c r="M165" s="76">
        <f t="shared" si="23"/>
        <v>1</v>
      </c>
      <c r="N165" s="76">
        <f t="shared" si="23"/>
        <v>2</v>
      </c>
      <c r="O165" s="76">
        <f t="shared" si="23"/>
        <v>2</v>
      </c>
      <c r="P165" s="76">
        <f t="shared" si="23"/>
        <v>2</v>
      </c>
      <c r="Q165" s="76">
        <f t="shared" si="23"/>
        <v>1</v>
      </c>
      <c r="R165" s="76">
        <f t="shared" si="23"/>
        <v>1</v>
      </c>
      <c r="S165" s="76">
        <f t="shared" si="23"/>
        <v>3</v>
      </c>
      <c r="T165" s="76">
        <f t="shared" si="23"/>
        <v>2</v>
      </c>
      <c r="U165" s="76">
        <f t="shared" si="23"/>
        <v>2</v>
      </c>
      <c r="V165" s="76">
        <f t="shared" si="23"/>
        <v>0</v>
      </c>
      <c r="W165" s="76">
        <f t="shared" si="23"/>
        <v>3</v>
      </c>
      <c r="X165" s="76">
        <f t="shared" si="23"/>
        <v>1</v>
      </c>
      <c r="Y165" s="76">
        <f t="shared" si="23"/>
        <v>0</v>
      </c>
      <c r="Z165" s="76">
        <f t="shared" si="23"/>
        <v>1</v>
      </c>
      <c r="AA165" s="76">
        <f t="shared" si="23"/>
        <v>1</v>
      </c>
      <c r="AB165" s="76">
        <f t="shared" si="23"/>
        <v>0</v>
      </c>
      <c r="AC165" s="76">
        <f t="shared" si="23"/>
        <v>0</v>
      </c>
      <c r="AD165" s="76">
        <f t="shared" si="23"/>
        <v>1</v>
      </c>
      <c r="AE165" s="76">
        <f t="shared" si="23"/>
        <v>3</v>
      </c>
      <c r="AF165" s="76">
        <f t="shared" si="23"/>
        <v>1</v>
      </c>
      <c r="AG165" s="44">
        <f>SUM(B165:AF165)</f>
        <v>48</v>
      </c>
    </row>
    <row r="166" spans="1:33" ht="27" customHeight="1" thickBot="1" x14ac:dyDescent="0.3">
      <c r="A166" s="276" t="s">
        <v>333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77"/>
      <c r="AB166" s="277"/>
      <c r="AC166" s="277"/>
      <c r="AD166" s="277"/>
      <c r="AE166" s="277"/>
      <c r="AF166" s="277"/>
      <c r="AG166" s="278"/>
    </row>
    <row r="167" spans="1:33" ht="27" customHeight="1" thickBot="1" x14ac:dyDescent="0.35">
      <c r="A167" s="27" t="s">
        <v>47</v>
      </c>
      <c r="B167" s="186"/>
      <c r="C167" s="17"/>
      <c r="D167" s="17"/>
      <c r="E167" s="17"/>
      <c r="F167" s="17"/>
      <c r="G167" s="17">
        <v>1</v>
      </c>
      <c r="H167" s="17"/>
      <c r="I167" s="193"/>
      <c r="J167" s="17"/>
      <c r="K167" s="17"/>
      <c r="L167" s="17">
        <v>1</v>
      </c>
      <c r="M167" s="17"/>
      <c r="N167" s="17"/>
      <c r="O167" s="17"/>
      <c r="P167" s="193"/>
      <c r="Q167" s="17"/>
      <c r="R167" s="17">
        <v>1</v>
      </c>
      <c r="S167" s="17"/>
      <c r="T167" s="17"/>
      <c r="U167" s="17"/>
      <c r="V167" s="193"/>
      <c r="W167" s="193"/>
      <c r="X167" s="17"/>
      <c r="Y167" s="193"/>
      <c r="Z167" s="193"/>
      <c r="AA167" s="193"/>
      <c r="AB167" s="193"/>
      <c r="AC167" s="193"/>
      <c r="AD167" s="193"/>
      <c r="AE167" s="17"/>
      <c r="AF167" s="18"/>
      <c r="AG167" s="49">
        <f>SUM(B167:AF167)</f>
        <v>3</v>
      </c>
    </row>
    <row r="168" spans="1:33" ht="27" customHeight="1" thickBot="1" x14ac:dyDescent="0.35">
      <c r="A168" s="30" t="s">
        <v>46</v>
      </c>
      <c r="B168" s="187"/>
      <c r="C168" s="5">
        <v>1</v>
      </c>
      <c r="D168" s="5"/>
      <c r="E168" s="5"/>
      <c r="F168" s="5">
        <v>1</v>
      </c>
      <c r="G168" s="5"/>
      <c r="H168" s="5"/>
      <c r="I168" s="189"/>
      <c r="J168" s="5"/>
      <c r="K168" s="5">
        <v>1</v>
      </c>
      <c r="L168" s="5"/>
      <c r="M168" s="5">
        <v>1</v>
      </c>
      <c r="N168" s="5"/>
      <c r="O168" s="5"/>
      <c r="P168" s="189"/>
      <c r="Q168" s="5"/>
      <c r="R168" s="5">
        <v>1</v>
      </c>
      <c r="S168" s="5"/>
      <c r="T168" s="5"/>
      <c r="U168" s="5"/>
      <c r="V168" s="189"/>
      <c r="W168" s="189"/>
      <c r="X168" s="5"/>
      <c r="Y168" s="189"/>
      <c r="Z168" s="189"/>
      <c r="AA168" s="189"/>
      <c r="AB168" s="189"/>
      <c r="AC168" s="189"/>
      <c r="AD168" s="189"/>
      <c r="AE168" s="5"/>
      <c r="AF168" s="6"/>
      <c r="AG168" s="49">
        <f t="shared" ref="AG168:AG179" si="24">SUM(B168:AF168)</f>
        <v>5</v>
      </c>
    </row>
    <row r="169" spans="1:33" ht="27" customHeight="1" thickBot="1" x14ac:dyDescent="0.35">
      <c r="A169" s="30" t="s">
        <v>48</v>
      </c>
      <c r="B169" s="187"/>
      <c r="C169" s="5"/>
      <c r="D169" s="5"/>
      <c r="E169" s="5">
        <v>1</v>
      </c>
      <c r="F169" s="5"/>
      <c r="G169" s="5">
        <v>1</v>
      </c>
      <c r="H169" s="5"/>
      <c r="I169" s="189"/>
      <c r="J169" s="5"/>
      <c r="K169" s="5"/>
      <c r="L169" s="5">
        <v>1</v>
      </c>
      <c r="M169" s="5"/>
      <c r="N169" s="5"/>
      <c r="O169" s="5"/>
      <c r="P169" s="189"/>
      <c r="Q169" s="5"/>
      <c r="R169" s="5"/>
      <c r="S169" s="5"/>
      <c r="T169" s="5"/>
      <c r="U169" s="5"/>
      <c r="V169" s="189"/>
      <c r="W169" s="189"/>
      <c r="X169" s="5"/>
      <c r="Y169" s="189"/>
      <c r="Z169" s="189"/>
      <c r="AA169" s="189"/>
      <c r="AB169" s="189"/>
      <c r="AC169" s="189"/>
      <c r="AD169" s="189"/>
      <c r="AE169" s="5"/>
      <c r="AF169" s="6"/>
      <c r="AG169" s="49">
        <f t="shared" si="24"/>
        <v>3</v>
      </c>
    </row>
    <row r="170" spans="1:33" ht="27" customHeight="1" thickBot="1" x14ac:dyDescent="0.35">
      <c r="A170" s="30" t="s">
        <v>49</v>
      </c>
      <c r="B170" s="187"/>
      <c r="C170" s="5">
        <v>1</v>
      </c>
      <c r="D170" s="5"/>
      <c r="E170" s="5"/>
      <c r="F170" s="5"/>
      <c r="G170" s="5"/>
      <c r="H170" s="5"/>
      <c r="I170" s="189"/>
      <c r="J170" s="5">
        <v>1</v>
      </c>
      <c r="K170" s="5"/>
      <c r="L170" s="5"/>
      <c r="M170" s="5"/>
      <c r="N170" s="5"/>
      <c r="O170" s="5"/>
      <c r="P170" s="189"/>
      <c r="Q170" s="5"/>
      <c r="R170" s="5"/>
      <c r="S170" s="5"/>
      <c r="T170" s="5"/>
      <c r="U170" s="5"/>
      <c r="V170" s="189"/>
      <c r="W170" s="189"/>
      <c r="X170" s="5"/>
      <c r="Y170" s="189"/>
      <c r="Z170" s="189"/>
      <c r="AA170" s="189"/>
      <c r="AB170" s="189"/>
      <c r="AC170" s="189"/>
      <c r="AD170" s="189"/>
      <c r="AE170" s="5">
        <v>1</v>
      </c>
      <c r="AF170" s="6"/>
      <c r="AG170" s="49">
        <f t="shared" si="24"/>
        <v>3</v>
      </c>
    </row>
    <row r="171" spans="1:33" ht="27" customHeight="1" thickBot="1" x14ac:dyDescent="0.35">
      <c r="A171" s="30" t="s">
        <v>50</v>
      </c>
      <c r="B171" s="187"/>
      <c r="C171" s="5">
        <v>1</v>
      </c>
      <c r="D171" s="5">
        <v>1</v>
      </c>
      <c r="E171" s="5">
        <v>1</v>
      </c>
      <c r="F171" s="5">
        <v>1</v>
      </c>
      <c r="G171" s="5">
        <v>1</v>
      </c>
      <c r="H171" s="5"/>
      <c r="I171" s="189"/>
      <c r="J171" s="5">
        <v>1</v>
      </c>
      <c r="K171" s="5">
        <v>1</v>
      </c>
      <c r="L171" s="5">
        <v>1</v>
      </c>
      <c r="M171" s="5">
        <v>1</v>
      </c>
      <c r="N171" s="5">
        <v>1</v>
      </c>
      <c r="O171" s="5"/>
      <c r="P171" s="189"/>
      <c r="Q171" s="5">
        <v>1</v>
      </c>
      <c r="R171" s="5">
        <v>1</v>
      </c>
      <c r="S171" s="5">
        <v>1</v>
      </c>
      <c r="T171" s="5">
        <v>1</v>
      </c>
      <c r="U171" s="5">
        <v>1</v>
      </c>
      <c r="V171" s="189"/>
      <c r="W171" s="189"/>
      <c r="X171" s="5"/>
      <c r="Y171" s="189"/>
      <c r="Z171" s="189"/>
      <c r="AA171" s="189"/>
      <c r="AB171" s="189"/>
      <c r="AC171" s="189"/>
      <c r="AD171" s="189"/>
      <c r="AE171" s="5"/>
      <c r="AF171" s="6"/>
      <c r="AG171" s="49">
        <f t="shared" si="24"/>
        <v>15</v>
      </c>
    </row>
    <row r="172" spans="1:33" ht="27" customHeight="1" thickBot="1" x14ac:dyDescent="0.35">
      <c r="A172" s="30" t="s">
        <v>51</v>
      </c>
      <c r="B172" s="187"/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/>
      <c r="I172" s="189"/>
      <c r="J172" s="5">
        <v>1</v>
      </c>
      <c r="K172" s="5">
        <v>1</v>
      </c>
      <c r="L172" s="5">
        <v>1</v>
      </c>
      <c r="M172" s="5">
        <v>1</v>
      </c>
      <c r="N172" s="5">
        <v>1</v>
      </c>
      <c r="O172" s="5"/>
      <c r="P172" s="189"/>
      <c r="Q172" s="5">
        <v>1</v>
      </c>
      <c r="R172" s="5">
        <v>1</v>
      </c>
      <c r="S172" s="5">
        <v>1</v>
      </c>
      <c r="T172" s="5">
        <v>1</v>
      </c>
      <c r="U172" s="5">
        <v>1</v>
      </c>
      <c r="V172" s="189"/>
      <c r="W172" s="189"/>
      <c r="X172" s="5"/>
      <c r="Y172" s="189"/>
      <c r="Z172" s="189"/>
      <c r="AA172" s="189"/>
      <c r="AB172" s="189"/>
      <c r="AC172" s="189"/>
      <c r="AD172" s="189"/>
      <c r="AE172" s="5"/>
      <c r="AF172" s="6"/>
      <c r="AG172" s="49">
        <f t="shared" si="24"/>
        <v>15</v>
      </c>
    </row>
    <row r="173" spans="1:33" ht="27" customHeight="1" thickBot="1" x14ac:dyDescent="0.35">
      <c r="A173" s="30" t="s">
        <v>52</v>
      </c>
      <c r="B173" s="187"/>
      <c r="C173" s="5"/>
      <c r="D173" s="5"/>
      <c r="E173" s="5">
        <v>1</v>
      </c>
      <c r="F173" s="5"/>
      <c r="G173" s="5"/>
      <c r="H173" s="5"/>
      <c r="I173" s="189"/>
      <c r="J173" s="5"/>
      <c r="K173" s="5"/>
      <c r="L173" s="5"/>
      <c r="M173" s="5"/>
      <c r="N173" s="5"/>
      <c r="O173" s="5"/>
      <c r="P173" s="189"/>
      <c r="Q173" s="5"/>
      <c r="R173" s="5"/>
      <c r="S173" s="5"/>
      <c r="T173" s="5"/>
      <c r="U173" s="5">
        <v>1</v>
      </c>
      <c r="V173" s="189"/>
      <c r="W173" s="189"/>
      <c r="X173" s="5"/>
      <c r="Y173" s="189"/>
      <c r="Z173" s="189"/>
      <c r="AA173" s="189"/>
      <c r="AB173" s="189"/>
      <c r="AC173" s="189"/>
      <c r="AD173" s="189"/>
      <c r="AE173" s="5">
        <v>1</v>
      </c>
      <c r="AF173" s="6"/>
      <c r="AG173" s="49">
        <f t="shared" si="24"/>
        <v>3</v>
      </c>
    </row>
    <row r="174" spans="1:33" ht="27" customHeight="1" thickBot="1" x14ac:dyDescent="0.35">
      <c r="A174" s="30" t="s">
        <v>53</v>
      </c>
      <c r="B174" s="187"/>
      <c r="C174" s="5">
        <v>1</v>
      </c>
      <c r="D174" s="5">
        <v>1</v>
      </c>
      <c r="E174" s="5"/>
      <c r="F174" s="5"/>
      <c r="G174" s="5"/>
      <c r="H174" s="5"/>
      <c r="I174" s="189"/>
      <c r="J174" s="5"/>
      <c r="K174" s="5">
        <v>1</v>
      </c>
      <c r="L174" s="5"/>
      <c r="M174" s="5"/>
      <c r="N174" s="5">
        <v>1</v>
      </c>
      <c r="O174" s="5"/>
      <c r="P174" s="189"/>
      <c r="Q174" s="5"/>
      <c r="R174" s="5"/>
      <c r="S174" s="5">
        <v>1</v>
      </c>
      <c r="T174" s="5">
        <v>1</v>
      </c>
      <c r="U174" s="5">
        <v>1</v>
      </c>
      <c r="V174" s="189"/>
      <c r="W174" s="189"/>
      <c r="X174" s="5">
        <v>1</v>
      </c>
      <c r="Y174" s="189"/>
      <c r="Z174" s="189"/>
      <c r="AA174" s="189"/>
      <c r="AB174" s="189"/>
      <c r="AC174" s="189"/>
      <c r="AD174" s="189"/>
      <c r="AE174" s="5"/>
      <c r="AF174" s="6"/>
      <c r="AG174" s="49">
        <f t="shared" si="24"/>
        <v>8</v>
      </c>
    </row>
    <row r="175" spans="1:33" ht="27" customHeight="1" thickBot="1" x14ac:dyDescent="0.35">
      <c r="A175" s="30" t="s">
        <v>54</v>
      </c>
      <c r="B175" s="187"/>
      <c r="C175" s="5"/>
      <c r="D175" s="5"/>
      <c r="E175" s="5"/>
      <c r="F175" s="5"/>
      <c r="G175" s="5">
        <v>1</v>
      </c>
      <c r="H175" s="5"/>
      <c r="I175" s="189"/>
      <c r="J175" s="5">
        <v>1</v>
      </c>
      <c r="K175" s="5">
        <v>1</v>
      </c>
      <c r="L175" s="5"/>
      <c r="M175" s="5">
        <v>1</v>
      </c>
      <c r="N175" s="5">
        <v>1</v>
      </c>
      <c r="O175" s="5"/>
      <c r="P175" s="189"/>
      <c r="Q175" s="5"/>
      <c r="R175" s="5"/>
      <c r="S175" s="5"/>
      <c r="T175" s="5">
        <v>1</v>
      </c>
      <c r="U175" s="5">
        <v>1</v>
      </c>
      <c r="V175" s="189"/>
      <c r="W175" s="189"/>
      <c r="X175" s="5"/>
      <c r="Y175" s="189"/>
      <c r="Z175" s="189"/>
      <c r="AA175" s="189"/>
      <c r="AB175" s="189"/>
      <c r="AC175" s="189"/>
      <c r="AD175" s="189"/>
      <c r="AE175" s="5"/>
      <c r="AF175" s="6">
        <v>1</v>
      </c>
      <c r="AG175" s="49">
        <f t="shared" si="24"/>
        <v>8</v>
      </c>
    </row>
    <row r="176" spans="1:33" ht="27" customHeight="1" thickBot="1" x14ac:dyDescent="0.35">
      <c r="A176" s="30" t="s">
        <v>55</v>
      </c>
      <c r="B176" s="187"/>
      <c r="C176" s="5">
        <v>1</v>
      </c>
      <c r="D176" s="5">
        <v>1</v>
      </c>
      <c r="E176" s="5">
        <v>1</v>
      </c>
      <c r="F176" s="5">
        <v>1</v>
      </c>
      <c r="G176" s="5">
        <v>1</v>
      </c>
      <c r="H176" s="5"/>
      <c r="I176" s="189"/>
      <c r="J176" s="5">
        <v>1</v>
      </c>
      <c r="K176" s="5">
        <v>1</v>
      </c>
      <c r="L176" s="5">
        <v>1</v>
      </c>
      <c r="M176" s="5">
        <v>1</v>
      </c>
      <c r="N176" s="5">
        <v>1</v>
      </c>
      <c r="O176" s="5"/>
      <c r="P176" s="189"/>
      <c r="Q176" s="5">
        <v>1</v>
      </c>
      <c r="R176" s="5">
        <v>1</v>
      </c>
      <c r="S176" s="5">
        <v>1</v>
      </c>
      <c r="T176" s="5">
        <v>1</v>
      </c>
      <c r="U176" s="5">
        <v>1</v>
      </c>
      <c r="V176" s="189"/>
      <c r="W176" s="189"/>
      <c r="X176" s="5"/>
      <c r="Y176" s="189"/>
      <c r="Z176" s="189"/>
      <c r="AA176" s="189"/>
      <c r="AB176" s="189"/>
      <c r="AC176" s="189"/>
      <c r="AD176" s="189"/>
      <c r="AE176" s="5"/>
      <c r="AF176" s="6"/>
      <c r="AG176" s="49">
        <f t="shared" si="24"/>
        <v>15</v>
      </c>
    </row>
    <row r="177" spans="1:33" ht="27" customHeight="1" thickBot="1" x14ac:dyDescent="0.35">
      <c r="A177" s="30" t="s">
        <v>56</v>
      </c>
      <c r="B177" s="187"/>
      <c r="C177" s="5">
        <v>1</v>
      </c>
      <c r="D177" s="5"/>
      <c r="E177" s="5"/>
      <c r="F177" s="5"/>
      <c r="G177" s="5"/>
      <c r="H177" s="5"/>
      <c r="I177" s="189"/>
      <c r="J177" s="5"/>
      <c r="K177" s="5">
        <v>1</v>
      </c>
      <c r="L177" s="5"/>
      <c r="M177" s="5"/>
      <c r="N177" s="5">
        <v>1</v>
      </c>
      <c r="O177" s="5"/>
      <c r="P177" s="189"/>
      <c r="Q177" s="5">
        <v>1</v>
      </c>
      <c r="R177" s="5"/>
      <c r="S177" s="5">
        <v>1</v>
      </c>
      <c r="T177" s="5"/>
      <c r="U177" s="5"/>
      <c r="V177" s="189"/>
      <c r="W177" s="189"/>
      <c r="X177" s="5"/>
      <c r="Y177" s="189"/>
      <c r="Z177" s="189"/>
      <c r="AA177" s="189"/>
      <c r="AB177" s="189"/>
      <c r="AC177" s="189"/>
      <c r="AD177" s="189"/>
      <c r="AE177" s="5"/>
      <c r="AF177" s="6">
        <v>1</v>
      </c>
      <c r="AG177" s="49">
        <f t="shared" si="24"/>
        <v>6</v>
      </c>
    </row>
    <row r="178" spans="1:33" ht="27" customHeight="1" thickBot="1" x14ac:dyDescent="0.35">
      <c r="A178" s="30" t="s">
        <v>57</v>
      </c>
      <c r="B178" s="188"/>
      <c r="C178" s="11"/>
      <c r="D178" s="11"/>
      <c r="E178" s="11"/>
      <c r="F178" s="11"/>
      <c r="G178" s="11"/>
      <c r="H178" s="11"/>
      <c r="I178" s="194"/>
      <c r="J178" s="11"/>
      <c r="K178" s="11"/>
      <c r="L178" s="11"/>
      <c r="M178" s="11">
        <v>1</v>
      </c>
      <c r="N178" s="11"/>
      <c r="O178" s="11"/>
      <c r="P178" s="194"/>
      <c r="Q178" s="11">
        <v>1</v>
      </c>
      <c r="R178" s="11"/>
      <c r="S178" s="11"/>
      <c r="T178" s="11"/>
      <c r="U178" s="11"/>
      <c r="V178" s="194"/>
      <c r="W178" s="194"/>
      <c r="X178" s="11">
        <v>1</v>
      </c>
      <c r="Y178" s="194"/>
      <c r="Z178" s="194"/>
      <c r="AA178" s="194"/>
      <c r="AB178" s="194"/>
      <c r="AC178" s="194"/>
      <c r="AD178" s="194"/>
      <c r="AE178" s="11"/>
      <c r="AF178" s="12"/>
      <c r="AG178" s="49">
        <f t="shared" si="24"/>
        <v>3</v>
      </c>
    </row>
    <row r="179" spans="1:33" ht="27" customHeight="1" thickBot="1" x14ac:dyDescent="0.35">
      <c r="A179" s="128" t="s">
        <v>459</v>
      </c>
      <c r="B179" s="192"/>
      <c r="C179" s="135">
        <v>1</v>
      </c>
      <c r="D179" s="135">
        <v>1</v>
      </c>
      <c r="E179" s="135">
        <v>1</v>
      </c>
      <c r="F179" s="135">
        <v>1</v>
      </c>
      <c r="G179" s="135">
        <v>1</v>
      </c>
      <c r="H179" s="135">
        <v>1</v>
      </c>
      <c r="I179" s="195"/>
      <c r="J179" s="135">
        <v>1</v>
      </c>
      <c r="K179" s="135">
        <v>1</v>
      </c>
      <c r="L179" s="135">
        <v>1</v>
      </c>
      <c r="M179" s="135">
        <v>1</v>
      </c>
      <c r="N179" s="135">
        <v>1</v>
      </c>
      <c r="O179" s="135">
        <v>1</v>
      </c>
      <c r="P179" s="195"/>
      <c r="Q179" s="135">
        <v>1</v>
      </c>
      <c r="R179" s="135"/>
      <c r="S179" s="135"/>
      <c r="T179" s="135"/>
      <c r="U179" s="135"/>
      <c r="V179" s="195"/>
      <c r="W179" s="195"/>
      <c r="X179" s="135"/>
      <c r="Y179" s="195"/>
      <c r="Z179" s="195"/>
      <c r="AA179" s="195"/>
      <c r="AB179" s="195"/>
      <c r="AC179" s="195"/>
      <c r="AD179" s="195"/>
      <c r="AE179" s="135">
        <v>1</v>
      </c>
      <c r="AF179" s="153">
        <v>1</v>
      </c>
      <c r="AG179" s="49">
        <f t="shared" si="24"/>
        <v>15</v>
      </c>
    </row>
    <row r="180" spans="1:33" ht="27" customHeight="1" thickBot="1" x14ac:dyDescent="0.35">
      <c r="A180" s="46" t="s">
        <v>10</v>
      </c>
      <c r="B180" s="76">
        <f>SUM(B167:B179)</f>
        <v>0</v>
      </c>
      <c r="C180" s="76">
        <f t="shared" ref="C180:AF180" si="25">SUM(C167:C179)</f>
        <v>8</v>
      </c>
      <c r="D180" s="76">
        <f t="shared" si="25"/>
        <v>5</v>
      </c>
      <c r="E180" s="76">
        <f t="shared" si="25"/>
        <v>6</v>
      </c>
      <c r="F180" s="76">
        <f t="shared" si="25"/>
        <v>5</v>
      </c>
      <c r="G180" s="76">
        <f t="shared" si="25"/>
        <v>7</v>
      </c>
      <c r="H180" s="76">
        <f t="shared" si="25"/>
        <v>1</v>
      </c>
      <c r="I180" s="76">
        <f t="shared" si="25"/>
        <v>0</v>
      </c>
      <c r="J180" s="76">
        <f t="shared" si="25"/>
        <v>6</v>
      </c>
      <c r="K180" s="76">
        <f t="shared" si="25"/>
        <v>8</v>
      </c>
      <c r="L180" s="76">
        <f t="shared" si="25"/>
        <v>6</v>
      </c>
      <c r="M180" s="76">
        <f t="shared" si="25"/>
        <v>7</v>
      </c>
      <c r="N180" s="76">
        <f t="shared" si="25"/>
        <v>7</v>
      </c>
      <c r="O180" s="76">
        <f t="shared" si="25"/>
        <v>1</v>
      </c>
      <c r="P180" s="76">
        <f t="shared" si="25"/>
        <v>0</v>
      </c>
      <c r="Q180" s="76">
        <f t="shared" si="25"/>
        <v>6</v>
      </c>
      <c r="R180" s="76">
        <f t="shared" si="25"/>
        <v>5</v>
      </c>
      <c r="S180" s="76">
        <f t="shared" si="25"/>
        <v>5</v>
      </c>
      <c r="T180" s="76">
        <f t="shared" si="25"/>
        <v>5</v>
      </c>
      <c r="U180" s="76">
        <f t="shared" si="25"/>
        <v>6</v>
      </c>
      <c r="V180" s="76">
        <f t="shared" si="25"/>
        <v>0</v>
      </c>
      <c r="W180" s="76">
        <f t="shared" si="25"/>
        <v>0</v>
      </c>
      <c r="X180" s="76">
        <f t="shared" si="25"/>
        <v>2</v>
      </c>
      <c r="Y180" s="76">
        <f t="shared" si="25"/>
        <v>0</v>
      </c>
      <c r="Z180" s="76">
        <f t="shared" si="25"/>
        <v>0</v>
      </c>
      <c r="AA180" s="76">
        <f t="shared" si="25"/>
        <v>0</v>
      </c>
      <c r="AB180" s="76">
        <f t="shared" si="25"/>
        <v>0</v>
      </c>
      <c r="AC180" s="76">
        <f t="shared" si="25"/>
        <v>0</v>
      </c>
      <c r="AD180" s="76">
        <f t="shared" si="25"/>
        <v>0</v>
      </c>
      <c r="AE180" s="76">
        <f t="shared" si="25"/>
        <v>3</v>
      </c>
      <c r="AF180" s="76">
        <f t="shared" si="25"/>
        <v>3</v>
      </c>
      <c r="AG180" s="44">
        <f>SUM(B180:AF180)</f>
        <v>102</v>
      </c>
    </row>
    <row r="181" spans="1:33" ht="27" customHeight="1" thickBot="1" x14ac:dyDescent="0.3">
      <c r="A181" s="276" t="s">
        <v>334</v>
      </c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77"/>
      <c r="P181" s="277"/>
      <c r="Q181" s="277"/>
      <c r="R181" s="277"/>
      <c r="S181" s="277"/>
      <c r="T181" s="277"/>
      <c r="U181" s="277"/>
      <c r="V181" s="277"/>
      <c r="W181" s="277"/>
      <c r="X181" s="277"/>
      <c r="Y181" s="277"/>
      <c r="Z181" s="277"/>
      <c r="AA181" s="277"/>
      <c r="AB181" s="277"/>
      <c r="AC181" s="277"/>
      <c r="AD181" s="277"/>
      <c r="AE181" s="277"/>
      <c r="AF181" s="277"/>
      <c r="AG181" s="278"/>
    </row>
    <row r="182" spans="1:33" ht="27" customHeight="1" thickBot="1" x14ac:dyDescent="0.35">
      <c r="A182" s="129" t="s">
        <v>36</v>
      </c>
      <c r="B182" s="186"/>
      <c r="C182" s="17"/>
      <c r="D182" s="17"/>
      <c r="E182" s="17"/>
      <c r="F182" s="17"/>
      <c r="G182" s="17"/>
      <c r="H182" s="17"/>
      <c r="I182" s="193"/>
      <c r="J182" s="17"/>
      <c r="K182" s="17"/>
      <c r="L182" s="17"/>
      <c r="M182" s="17"/>
      <c r="N182" s="17"/>
      <c r="O182" s="17">
        <v>1</v>
      </c>
      <c r="P182" s="193"/>
      <c r="Q182" s="17"/>
      <c r="R182" s="17"/>
      <c r="S182" s="17"/>
      <c r="T182" s="17"/>
      <c r="U182" s="17"/>
      <c r="V182" s="193"/>
      <c r="W182" s="193"/>
      <c r="X182" s="17"/>
      <c r="Y182" s="193"/>
      <c r="Z182" s="193"/>
      <c r="AA182" s="193"/>
      <c r="AB182" s="193"/>
      <c r="AC182" s="193"/>
      <c r="AD182" s="193"/>
      <c r="AE182" s="17"/>
      <c r="AF182" s="18"/>
      <c r="AG182" s="44">
        <f>SUM(B182:AF182)</f>
        <v>1</v>
      </c>
    </row>
    <row r="183" spans="1:33" ht="27" customHeight="1" thickBot="1" x14ac:dyDescent="0.35">
      <c r="A183" s="30" t="s">
        <v>37</v>
      </c>
      <c r="B183" s="187"/>
      <c r="C183" s="5">
        <v>1</v>
      </c>
      <c r="D183" s="5">
        <v>1</v>
      </c>
      <c r="E183" s="5">
        <v>1</v>
      </c>
      <c r="F183" s="5"/>
      <c r="G183" s="5">
        <v>1</v>
      </c>
      <c r="H183" s="5"/>
      <c r="I183" s="189"/>
      <c r="J183" s="5">
        <v>1</v>
      </c>
      <c r="K183" s="5">
        <v>1</v>
      </c>
      <c r="L183" s="5">
        <v>1</v>
      </c>
      <c r="M183" s="5"/>
      <c r="N183" s="5">
        <v>1</v>
      </c>
      <c r="O183" s="5">
        <v>1</v>
      </c>
      <c r="P183" s="189"/>
      <c r="Q183" s="5">
        <v>1</v>
      </c>
      <c r="R183" s="5"/>
      <c r="S183" s="5">
        <v>1</v>
      </c>
      <c r="T183" s="5"/>
      <c r="U183" s="5">
        <v>1</v>
      </c>
      <c r="V183" s="189"/>
      <c r="W183" s="189"/>
      <c r="X183" s="5">
        <v>1</v>
      </c>
      <c r="Y183" s="189"/>
      <c r="Z183" s="189"/>
      <c r="AA183" s="189"/>
      <c r="AB183" s="189"/>
      <c r="AC183" s="189"/>
      <c r="AD183" s="189"/>
      <c r="AE183" s="5"/>
      <c r="AF183" s="6"/>
      <c r="AG183" s="44">
        <f t="shared" ref="AG183:AG198" si="26">SUM(B183:AF183)</f>
        <v>13</v>
      </c>
    </row>
    <row r="184" spans="1:33" ht="27" customHeight="1" thickBot="1" x14ac:dyDescent="0.35">
      <c r="A184" s="30" t="s">
        <v>45</v>
      </c>
      <c r="B184" s="187"/>
      <c r="C184" s="5">
        <v>1</v>
      </c>
      <c r="D184" s="5">
        <v>1</v>
      </c>
      <c r="E184" s="5">
        <v>1</v>
      </c>
      <c r="F184" s="5">
        <v>1</v>
      </c>
      <c r="G184" s="5"/>
      <c r="H184" s="5"/>
      <c r="I184" s="189"/>
      <c r="J184" s="5"/>
      <c r="K184" s="5"/>
      <c r="L184" s="5"/>
      <c r="M184" s="5"/>
      <c r="N184" s="5"/>
      <c r="O184" s="5"/>
      <c r="P184" s="189"/>
      <c r="Q184" s="5"/>
      <c r="R184" s="5"/>
      <c r="S184" s="5"/>
      <c r="T184" s="5"/>
      <c r="U184" s="5"/>
      <c r="V184" s="189"/>
      <c r="W184" s="189"/>
      <c r="X184" s="5"/>
      <c r="Y184" s="189"/>
      <c r="Z184" s="189"/>
      <c r="AA184" s="189"/>
      <c r="AB184" s="189"/>
      <c r="AC184" s="189"/>
      <c r="AD184" s="189"/>
      <c r="AE184" s="5"/>
      <c r="AF184" s="6"/>
      <c r="AG184" s="44">
        <f t="shared" si="26"/>
        <v>4</v>
      </c>
    </row>
    <row r="185" spans="1:33" ht="27" customHeight="1" thickBot="1" x14ac:dyDescent="0.35">
      <c r="A185" s="30" t="s">
        <v>38</v>
      </c>
      <c r="B185" s="187"/>
      <c r="C185" s="5"/>
      <c r="D185" s="5"/>
      <c r="E185" s="5"/>
      <c r="F185" s="5"/>
      <c r="G185" s="5"/>
      <c r="H185" s="5"/>
      <c r="I185" s="189"/>
      <c r="J185" s="5"/>
      <c r="K185" s="5"/>
      <c r="L185" s="5"/>
      <c r="M185" s="5"/>
      <c r="N185" s="5"/>
      <c r="O185" s="5"/>
      <c r="P185" s="189"/>
      <c r="Q185" s="5"/>
      <c r="R185" s="5"/>
      <c r="S185" s="5"/>
      <c r="T185" s="5"/>
      <c r="U185" s="5"/>
      <c r="V185" s="189"/>
      <c r="W185" s="189"/>
      <c r="X185" s="5"/>
      <c r="Y185" s="189"/>
      <c r="Z185" s="189"/>
      <c r="AA185" s="189"/>
      <c r="AB185" s="189"/>
      <c r="AC185" s="189"/>
      <c r="AD185" s="189"/>
      <c r="AE185" s="5"/>
      <c r="AF185" s="6"/>
      <c r="AG185" s="44">
        <f t="shared" si="26"/>
        <v>0</v>
      </c>
    </row>
    <row r="186" spans="1:33" ht="19.5" thickBot="1" x14ac:dyDescent="0.35">
      <c r="A186" s="30" t="s">
        <v>472</v>
      </c>
      <c r="B186" s="187"/>
      <c r="C186" s="5"/>
      <c r="D186" s="5"/>
      <c r="E186" s="5"/>
      <c r="F186" s="5"/>
      <c r="G186" s="5"/>
      <c r="H186" s="5"/>
      <c r="I186" s="189"/>
      <c r="J186" s="5"/>
      <c r="K186" s="5"/>
      <c r="L186" s="5"/>
      <c r="M186" s="5"/>
      <c r="N186" s="5"/>
      <c r="O186" s="5"/>
      <c r="P186" s="189"/>
      <c r="Q186" s="5"/>
      <c r="R186" s="5"/>
      <c r="S186" s="5"/>
      <c r="T186" s="5"/>
      <c r="U186" s="5"/>
      <c r="V186" s="189"/>
      <c r="W186" s="189"/>
      <c r="X186" s="5"/>
      <c r="Y186" s="189"/>
      <c r="Z186" s="189"/>
      <c r="AA186" s="189"/>
      <c r="AB186" s="189"/>
      <c r="AC186" s="189"/>
      <c r="AD186" s="189"/>
      <c r="AE186" s="5"/>
      <c r="AF186" s="6"/>
      <c r="AG186" s="44">
        <f t="shared" si="26"/>
        <v>0</v>
      </c>
    </row>
    <row r="187" spans="1:33" ht="27" customHeight="1" thickBot="1" x14ac:dyDescent="0.35">
      <c r="A187" s="30" t="s">
        <v>473</v>
      </c>
      <c r="B187" s="187">
        <v>1</v>
      </c>
      <c r="C187" s="5"/>
      <c r="D187" s="5"/>
      <c r="E187" s="5"/>
      <c r="F187" s="5">
        <v>1</v>
      </c>
      <c r="G187" s="5">
        <v>1</v>
      </c>
      <c r="H187" s="5"/>
      <c r="I187" s="189"/>
      <c r="J187" s="5">
        <v>1</v>
      </c>
      <c r="K187" s="5"/>
      <c r="L187" s="5">
        <v>1</v>
      </c>
      <c r="M187" s="5"/>
      <c r="N187" s="5"/>
      <c r="O187" s="5">
        <v>1</v>
      </c>
      <c r="P187" s="189">
        <v>1</v>
      </c>
      <c r="Q187" s="5"/>
      <c r="R187" s="5"/>
      <c r="S187" s="5">
        <v>1</v>
      </c>
      <c r="T187" s="5"/>
      <c r="U187" s="5"/>
      <c r="V187" s="189">
        <v>1</v>
      </c>
      <c r="W187" s="189">
        <v>1</v>
      </c>
      <c r="X187" s="5">
        <v>1</v>
      </c>
      <c r="Y187" s="189">
        <v>1</v>
      </c>
      <c r="Z187" s="189">
        <v>1</v>
      </c>
      <c r="AA187" s="189"/>
      <c r="AB187" s="189"/>
      <c r="AC187" s="189">
        <v>1</v>
      </c>
      <c r="AD187" s="189"/>
      <c r="AE187" s="5"/>
      <c r="AF187" s="6"/>
      <c r="AG187" s="44">
        <f t="shared" si="26"/>
        <v>14</v>
      </c>
    </row>
    <row r="188" spans="1:33" ht="27" customHeight="1" thickBot="1" x14ac:dyDescent="0.35">
      <c r="A188" s="30" t="s">
        <v>451</v>
      </c>
      <c r="B188" s="187"/>
      <c r="C188" s="5"/>
      <c r="D188" s="5"/>
      <c r="E188" s="5"/>
      <c r="F188" s="5"/>
      <c r="G188" s="5">
        <v>1</v>
      </c>
      <c r="H188" s="5">
        <v>1</v>
      </c>
      <c r="I188" s="189"/>
      <c r="J188" s="5"/>
      <c r="K188" s="5"/>
      <c r="L188" s="5"/>
      <c r="M188" s="5"/>
      <c r="N188" s="5"/>
      <c r="O188" s="5">
        <v>1</v>
      </c>
      <c r="P188" s="189"/>
      <c r="Q188" s="5"/>
      <c r="R188" s="5"/>
      <c r="S188" s="5"/>
      <c r="T188" s="5">
        <v>1</v>
      </c>
      <c r="U188" s="5">
        <v>1</v>
      </c>
      <c r="V188" s="189"/>
      <c r="W188" s="189"/>
      <c r="X188" s="5"/>
      <c r="Y188" s="189"/>
      <c r="Z188" s="189"/>
      <c r="AA188" s="189"/>
      <c r="AB188" s="189"/>
      <c r="AC188" s="189"/>
      <c r="AD188" s="189"/>
      <c r="AE188" s="5"/>
      <c r="AF188" s="6"/>
      <c r="AG188" s="44">
        <f t="shared" si="26"/>
        <v>5</v>
      </c>
    </row>
    <row r="189" spans="1:33" ht="27" customHeight="1" thickBot="1" x14ac:dyDescent="0.35">
      <c r="A189" s="30" t="s">
        <v>43</v>
      </c>
      <c r="B189" s="187"/>
      <c r="C189" s="5"/>
      <c r="D189" s="5">
        <v>1</v>
      </c>
      <c r="E189" s="5"/>
      <c r="F189" s="5"/>
      <c r="G189" s="5">
        <v>1</v>
      </c>
      <c r="H189" s="5"/>
      <c r="I189" s="189"/>
      <c r="J189" s="5"/>
      <c r="K189" s="5"/>
      <c r="L189" s="5">
        <v>1</v>
      </c>
      <c r="M189" s="5"/>
      <c r="N189" s="5"/>
      <c r="O189" s="5"/>
      <c r="P189" s="189"/>
      <c r="Q189" s="5"/>
      <c r="R189" s="5"/>
      <c r="S189" s="5">
        <v>1</v>
      </c>
      <c r="T189" s="5"/>
      <c r="U189" s="5"/>
      <c r="V189" s="189"/>
      <c r="W189" s="189"/>
      <c r="X189" s="5"/>
      <c r="Y189" s="189"/>
      <c r="Z189" s="189"/>
      <c r="AA189" s="189"/>
      <c r="AB189" s="189"/>
      <c r="AC189" s="189"/>
      <c r="AD189" s="189"/>
      <c r="AE189" s="5"/>
      <c r="AF189" s="6"/>
      <c r="AG189" s="44">
        <f t="shared" si="26"/>
        <v>4</v>
      </c>
    </row>
    <row r="190" spans="1:33" ht="27" customHeight="1" thickBot="1" x14ac:dyDescent="0.35">
      <c r="A190" s="30" t="s">
        <v>464</v>
      </c>
      <c r="B190" s="187"/>
      <c r="C190" s="5"/>
      <c r="D190" s="5"/>
      <c r="E190" s="5"/>
      <c r="F190" s="5"/>
      <c r="G190" s="5">
        <v>1</v>
      </c>
      <c r="H190" s="5"/>
      <c r="I190" s="189"/>
      <c r="J190" s="5"/>
      <c r="K190" s="5"/>
      <c r="L190" s="5"/>
      <c r="M190" s="5"/>
      <c r="N190" s="5"/>
      <c r="O190" s="5"/>
      <c r="P190" s="189"/>
      <c r="Q190" s="5"/>
      <c r="R190" s="5"/>
      <c r="S190" s="5"/>
      <c r="T190" s="5"/>
      <c r="U190" s="5"/>
      <c r="V190" s="189"/>
      <c r="W190" s="189"/>
      <c r="X190" s="5"/>
      <c r="Y190" s="189"/>
      <c r="Z190" s="189"/>
      <c r="AA190" s="189"/>
      <c r="AB190" s="189"/>
      <c r="AC190" s="189"/>
      <c r="AD190" s="189"/>
      <c r="AE190" s="5"/>
      <c r="AF190" s="6"/>
      <c r="AG190" s="44">
        <f t="shared" si="26"/>
        <v>1</v>
      </c>
    </row>
    <row r="191" spans="1:33" ht="27" customHeight="1" thickBot="1" x14ac:dyDescent="0.35">
      <c r="A191" s="30" t="s">
        <v>40</v>
      </c>
      <c r="B191" s="187"/>
      <c r="C191" s="5"/>
      <c r="D191" s="5"/>
      <c r="E191" s="5"/>
      <c r="F191" s="5"/>
      <c r="G191" s="5"/>
      <c r="H191" s="5"/>
      <c r="I191" s="189"/>
      <c r="J191" s="5"/>
      <c r="K191" s="5"/>
      <c r="L191" s="5"/>
      <c r="M191" s="5"/>
      <c r="N191" s="5"/>
      <c r="O191" s="5"/>
      <c r="P191" s="189"/>
      <c r="Q191" s="5"/>
      <c r="R191" s="5"/>
      <c r="S191" s="5"/>
      <c r="T191" s="5"/>
      <c r="U191" s="5"/>
      <c r="V191" s="189"/>
      <c r="W191" s="189"/>
      <c r="X191" s="5"/>
      <c r="Y191" s="189"/>
      <c r="Z191" s="189"/>
      <c r="AA191" s="189"/>
      <c r="AB191" s="189"/>
      <c r="AC191" s="189"/>
      <c r="AD191" s="189"/>
      <c r="AE191" s="5"/>
      <c r="AF191" s="6"/>
      <c r="AG191" s="44">
        <f t="shared" si="26"/>
        <v>0</v>
      </c>
    </row>
    <row r="192" spans="1:33" ht="27" customHeight="1" thickBot="1" x14ac:dyDescent="0.35">
      <c r="A192" s="30" t="s">
        <v>463</v>
      </c>
      <c r="B192" s="187"/>
      <c r="C192" s="5"/>
      <c r="D192" s="5"/>
      <c r="E192" s="5"/>
      <c r="F192" s="5"/>
      <c r="G192" s="5"/>
      <c r="H192" s="5"/>
      <c r="I192" s="189"/>
      <c r="J192" s="5"/>
      <c r="K192" s="5"/>
      <c r="L192" s="5"/>
      <c r="M192" s="5">
        <v>1</v>
      </c>
      <c r="N192" s="5"/>
      <c r="O192" s="5"/>
      <c r="P192" s="189"/>
      <c r="Q192" s="5"/>
      <c r="R192" s="5">
        <v>1</v>
      </c>
      <c r="S192" s="5"/>
      <c r="T192" s="5"/>
      <c r="U192" s="5"/>
      <c r="V192" s="189"/>
      <c r="W192" s="189">
        <v>1</v>
      </c>
      <c r="X192" s="5"/>
      <c r="Y192" s="189"/>
      <c r="Z192" s="189"/>
      <c r="AA192" s="189"/>
      <c r="AB192" s="189">
        <v>1</v>
      </c>
      <c r="AC192" s="189"/>
      <c r="AD192" s="189"/>
      <c r="AE192" s="5"/>
      <c r="AF192" s="6"/>
      <c r="AG192" s="44">
        <f t="shared" si="26"/>
        <v>4</v>
      </c>
    </row>
    <row r="193" spans="1:35" ht="27" customHeight="1" thickBot="1" x14ac:dyDescent="0.35">
      <c r="A193" s="30" t="s">
        <v>42</v>
      </c>
      <c r="B193" s="187"/>
      <c r="C193" s="5"/>
      <c r="D193" s="5"/>
      <c r="E193" s="5"/>
      <c r="F193" s="5"/>
      <c r="G193" s="5"/>
      <c r="H193" s="5"/>
      <c r="I193" s="189"/>
      <c r="J193" s="5"/>
      <c r="K193" s="5"/>
      <c r="L193" s="5"/>
      <c r="M193" s="5"/>
      <c r="N193" s="5"/>
      <c r="O193" s="5"/>
      <c r="P193" s="189"/>
      <c r="Q193" s="5"/>
      <c r="R193" s="5"/>
      <c r="S193" s="5"/>
      <c r="T193" s="5"/>
      <c r="U193" s="5"/>
      <c r="V193" s="189"/>
      <c r="W193" s="189"/>
      <c r="X193" s="5"/>
      <c r="Y193" s="189"/>
      <c r="Z193" s="189"/>
      <c r="AA193" s="189"/>
      <c r="AB193" s="189"/>
      <c r="AC193" s="189"/>
      <c r="AD193" s="189"/>
      <c r="AE193" s="5"/>
      <c r="AF193" s="6"/>
      <c r="AG193" s="44">
        <f t="shared" si="26"/>
        <v>0</v>
      </c>
    </row>
    <row r="194" spans="1:35" ht="27" customHeight="1" thickBot="1" x14ac:dyDescent="0.35">
      <c r="A194" s="30" t="s">
        <v>447</v>
      </c>
      <c r="B194" s="187"/>
      <c r="C194" s="5"/>
      <c r="D194" s="5">
        <v>1</v>
      </c>
      <c r="E194" s="5"/>
      <c r="F194" s="5"/>
      <c r="G194" s="5">
        <v>1</v>
      </c>
      <c r="H194" s="5"/>
      <c r="I194" s="189"/>
      <c r="J194" s="5"/>
      <c r="K194" s="5"/>
      <c r="L194" s="5"/>
      <c r="M194" s="5"/>
      <c r="N194" s="5">
        <v>1</v>
      </c>
      <c r="O194" s="5"/>
      <c r="P194" s="189"/>
      <c r="Q194" s="5"/>
      <c r="R194" s="5"/>
      <c r="S194" s="5">
        <v>1</v>
      </c>
      <c r="T194" s="5"/>
      <c r="U194" s="5">
        <v>1</v>
      </c>
      <c r="V194" s="189"/>
      <c r="W194" s="189"/>
      <c r="X194" s="5"/>
      <c r="Y194" s="189"/>
      <c r="Z194" s="189"/>
      <c r="AA194" s="189"/>
      <c r="AB194" s="189"/>
      <c r="AC194" s="189"/>
      <c r="AD194" s="189"/>
      <c r="AE194" s="5"/>
      <c r="AF194" s="6"/>
      <c r="AG194" s="44">
        <f t="shared" si="26"/>
        <v>5</v>
      </c>
    </row>
    <row r="195" spans="1:35" ht="27" customHeight="1" thickBot="1" x14ac:dyDescent="0.35">
      <c r="A195" s="30" t="s">
        <v>41</v>
      </c>
      <c r="B195" s="187"/>
      <c r="C195" s="5"/>
      <c r="D195" s="5"/>
      <c r="E195" s="5"/>
      <c r="F195" s="5"/>
      <c r="G195" s="5"/>
      <c r="H195" s="5"/>
      <c r="I195" s="189"/>
      <c r="J195" s="5"/>
      <c r="K195" s="5"/>
      <c r="L195" s="5"/>
      <c r="M195" s="5"/>
      <c r="N195" s="5"/>
      <c r="O195" s="5"/>
      <c r="P195" s="189"/>
      <c r="Q195" s="5"/>
      <c r="R195" s="5"/>
      <c r="S195" s="5"/>
      <c r="T195" s="5"/>
      <c r="U195" s="5"/>
      <c r="V195" s="189"/>
      <c r="W195" s="189"/>
      <c r="X195" s="5"/>
      <c r="Y195" s="189"/>
      <c r="Z195" s="189"/>
      <c r="AA195" s="189"/>
      <c r="AB195" s="189"/>
      <c r="AC195" s="189"/>
      <c r="AD195" s="189"/>
      <c r="AE195" s="5"/>
      <c r="AF195" s="6"/>
      <c r="AG195" s="44">
        <f t="shared" si="26"/>
        <v>0</v>
      </c>
    </row>
    <row r="196" spans="1:35" ht="27" customHeight="1" thickBot="1" x14ac:dyDescent="0.35">
      <c r="A196" s="30" t="s">
        <v>475</v>
      </c>
      <c r="B196" s="187"/>
      <c r="C196" s="5"/>
      <c r="D196" s="5"/>
      <c r="E196" s="5"/>
      <c r="F196" s="5"/>
      <c r="G196" s="5"/>
      <c r="H196" s="5"/>
      <c r="I196" s="189"/>
      <c r="J196" s="5"/>
      <c r="K196" s="5"/>
      <c r="L196" s="5"/>
      <c r="M196" s="5"/>
      <c r="N196" s="5"/>
      <c r="O196" s="5"/>
      <c r="P196" s="189"/>
      <c r="Q196" s="5"/>
      <c r="R196" s="5"/>
      <c r="S196" s="5"/>
      <c r="T196" s="5"/>
      <c r="U196" s="5"/>
      <c r="V196" s="189"/>
      <c r="W196" s="189"/>
      <c r="X196" s="5"/>
      <c r="Y196" s="189"/>
      <c r="Z196" s="189"/>
      <c r="AA196" s="189"/>
      <c r="AB196" s="189"/>
      <c r="AC196" s="189"/>
      <c r="AD196" s="189"/>
      <c r="AE196" s="5"/>
      <c r="AF196" s="6"/>
      <c r="AG196" s="44">
        <f t="shared" si="26"/>
        <v>0</v>
      </c>
    </row>
    <row r="197" spans="1:35" ht="27" customHeight="1" thickBot="1" x14ac:dyDescent="0.35">
      <c r="A197" s="30" t="s">
        <v>44</v>
      </c>
      <c r="B197" s="187"/>
      <c r="C197" s="5"/>
      <c r="D197" s="5"/>
      <c r="E197" s="5"/>
      <c r="F197" s="5"/>
      <c r="G197" s="5">
        <v>1</v>
      </c>
      <c r="H197" s="5"/>
      <c r="I197" s="189"/>
      <c r="J197" s="5">
        <v>1</v>
      </c>
      <c r="K197" s="5"/>
      <c r="L197" s="5">
        <v>1</v>
      </c>
      <c r="M197" s="5">
        <v>1</v>
      </c>
      <c r="N197" s="5"/>
      <c r="O197" s="5"/>
      <c r="P197" s="189"/>
      <c r="Q197" s="5"/>
      <c r="R197" s="5">
        <v>1</v>
      </c>
      <c r="S197" s="5"/>
      <c r="T197" s="5"/>
      <c r="U197" s="5">
        <v>1</v>
      </c>
      <c r="V197" s="189"/>
      <c r="W197" s="189"/>
      <c r="X197" s="5">
        <v>1</v>
      </c>
      <c r="Y197" s="189">
        <v>1</v>
      </c>
      <c r="Z197" s="189"/>
      <c r="AA197" s="189"/>
      <c r="AB197" s="189"/>
      <c r="AC197" s="189"/>
      <c r="AD197" s="189"/>
      <c r="AE197" s="5"/>
      <c r="AF197" s="6"/>
      <c r="AG197" s="44">
        <f t="shared" si="26"/>
        <v>8</v>
      </c>
    </row>
    <row r="198" spans="1:35" ht="27" customHeight="1" thickBot="1" x14ac:dyDescent="0.35">
      <c r="A198" s="128" t="s">
        <v>432</v>
      </c>
      <c r="B198" s="190"/>
      <c r="C198" s="139"/>
      <c r="D198" s="139"/>
      <c r="E198" s="139"/>
      <c r="F198" s="139"/>
      <c r="G198" s="139">
        <v>1</v>
      </c>
      <c r="H198" s="139"/>
      <c r="I198" s="190"/>
      <c r="J198" s="139"/>
      <c r="K198" s="139"/>
      <c r="L198" s="139"/>
      <c r="M198" s="139">
        <v>1</v>
      </c>
      <c r="N198" s="139"/>
      <c r="O198" s="139"/>
      <c r="P198" s="190"/>
      <c r="Q198" s="139"/>
      <c r="R198" s="139"/>
      <c r="S198" s="139"/>
      <c r="T198" s="139"/>
      <c r="U198" s="139">
        <v>1</v>
      </c>
      <c r="V198" s="190"/>
      <c r="W198" s="190"/>
      <c r="X198" s="139"/>
      <c r="Y198" s="190">
        <v>1</v>
      </c>
      <c r="Z198" s="190"/>
      <c r="AA198" s="190"/>
      <c r="AB198" s="190"/>
      <c r="AC198" s="190"/>
      <c r="AD198" s="190"/>
      <c r="AE198" s="139"/>
      <c r="AF198" s="228"/>
      <c r="AG198" s="44">
        <f t="shared" si="26"/>
        <v>4</v>
      </c>
      <c r="AI198" s="42" t="s">
        <v>454</v>
      </c>
    </row>
    <row r="199" spans="1:35" ht="27" customHeight="1" thickBot="1" x14ac:dyDescent="0.35">
      <c r="A199" s="46" t="s">
        <v>10</v>
      </c>
      <c r="B199" s="181">
        <f>SUM(B182:B198)</f>
        <v>1</v>
      </c>
      <c r="C199" s="181">
        <f t="shared" ref="C199:AF199" si="27">SUM(C182:C198)</f>
        <v>2</v>
      </c>
      <c r="D199" s="181">
        <f t="shared" si="27"/>
        <v>4</v>
      </c>
      <c r="E199" s="181">
        <f t="shared" si="27"/>
        <v>2</v>
      </c>
      <c r="F199" s="181">
        <f t="shared" si="27"/>
        <v>2</v>
      </c>
      <c r="G199" s="181">
        <f t="shared" si="27"/>
        <v>8</v>
      </c>
      <c r="H199" s="181">
        <f t="shared" si="27"/>
        <v>1</v>
      </c>
      <c r="I199" s="181">
        <f t="shared" si="27"/>
        <v>0</v>
      </c>
      <c r="J199" s="181">
        <f t="shared" si="27"/>
        <v>3</v>
      </c>
      <c r="K199" s="181">
        <f t="shared" si="27"/>
        <v>1</v>
      </c>
      <c r="L199" s="181">
        <f t="shared" si="27"/>
        <v>4</v>
      </c>
      <c r="M199" s="181">
        <f t="shared" si="27"/>
        <v>3</v>
      </c>
      <c r="N199" s="181">
        <f t="shared" si="27"/>
        <v>2</v>
      </c>
      <c r="O199" s="181">
        <f t="shared" si="27"/>
        <v>4</v>
      </c>
      <c r="P199" s="181">
        <f t="shared" si="27"/>
        <v>1</v>
      </c>
      <c r="Q199" s="181">
        <f t="shared" si="27"/>
        <v>1</v>
      </c>
      <c r="R199" s="181">
        <f t="shared" si="27"/>
        <v>2</v>
      </c>
      <c r="S199" s="181">
        <f t="shared" si="27"/>
        <v>4</v>
      </c>
      <c r="T199" s="181">
        <f t="shared" si="27"/>
        <v>1</v>
      </c>
      <c r="U199" s="181">
        <f t="shared" si="27"/>
        <v>5</v>
      </c>
      <c r="V199" s="181">
        <f t="shared" si="27"/>
        <v>1</v>
      </c>
      <c r="W199" s="181">
        <f t="shared" si="27"/>
        <v>2</v>
      </c>
      <c r="X199" s="181">
        <f t="shared" si="27"/>
        <v>3</v>
      </c>
      <c r="Y199" s="181">
        <f t="shared" si="27"/>
        <v>3</v>
      </c>
      <c r="Z199" s="181">
        <f t="shared" si="27"/>
        <v>1</v>
      </c>
      <c r="AA199" s="181">
        <f t="shared" si="27"/>
        <v>0</v>
      </c>
      <c r="AB199" s="181">
        <f t="shared" si="27"/>
        <v>1</v>
      </c>
      <c r="AC199" s="181">
        <f t="shared" si="27"/>
        <v>1</v>
      </c>
      <c r="AD199" s="181">
        <f t="shared" si="27"/>
        <v>0</v>
      </c>
      <c r="AE199" s="181">
        <f t="shared" si="27"/>
        <v>0</v>
      </c>
      <c r="AF199" s="181">
        <f t="shared" si="27"/>
        <v>0</v>
      </c>
      <c r="AG199" s="44">
        <f>SUM(B199:AF199)</f>
        <v>63</v>
      </c>
    </row>
    <row r="200" spans="1:35" ht="27" customHeight="1" thickBot="1" x14ac:dyDescent="0.3">
      <c r="A200" s="276" t="s">
        <v>335</v>
      </c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  <c r="Z200" s="277"/>
      <c r="AA200" s="277"/>
      <c r="AB200" s="277"/>
      <c r="AC200" s="277"/>
      <c r="AD200" s="277"/>
      <c r="AE200" s="277"/>
      <c r="AF200" s="277"/>
      <c r="AG200" s="278"/>
    </row>
    <row r="201" spans="1:35" ht="27" customHeight="1" thickBot="1" x14ac:dyDescent="0.35">
      <c r="A201" s="27" t="s">
        <v>58</v>
      </c>
      <c r="B201" s="186"/>
      <c r="C201" s="17">
        <v>1</v>
      </c>
      <c r="D201" s="17">
        <v>1</v>
      </c>
      <c r="E201" s="17">
        <v>1</v>
      </c>
      <c r="F201" s="17">
        <v>1</v>
      </c>
      <c r="G201" s="17">
        <v>1</v>
      </c>
      <c r="H201" s="17"/>
      <c r="I201" s="193"/>
      <c r="J201" s="17">
        <v>1</v>
      </c>
      <c r="K201" s="17">
        <v>1</v>
      </c>
      <c r="L201" s="17">
        <v>1</v>
      </c>
      <c r="M201" s="17">
        <v>1</v>
      </c>
      <c r="N201" s="17">
        <v>1</v>
      </c>
      <c r="O201" s="17"/>
      <c r="P201" s="193"/>
      <c r="Q201" s="17">
        <v>1</v>
      </c>
      <c r="R201" s="17">
        <v>1</v>
      </c>
      <c r="S201" s="17">
        <v>1</v>
      </c>
      <c r="T201" s="17">
        <v>1</v>
      </c>
      <c r="U201" s="17">
        <v>1</v>
      </c>
      <c r="V201" s="193"/>
      <c r="W201" s="193"/>
      <c r="X201" s="17"/>
      <c r="Y201" s="193"/>
      <c r="Z201" s="193"/>
      <c r="AA201" s="193"/>
      <c r="AB201" s="193"/>
      <c r="AC201" s="193"/>
      <c r="AD201" s="193"/>
      <c r="AE201" s="17"/>
      <c r="AF201" s="18"/>
      <c r="AG201" s="49">
        <f>SUM(B201:AF201)</f>
        <v>15</v>
      </c>
    </row>
    <row r="202" spans="1:35" ht="27" customHeight="1" thickBot="1" x14ac:dyDescent="0.35">
      <c r="A202" s="30" t="s">
        <v>65</v>
      </c>
      <c r="B202" s="187">
        <v>1</v>
      </c>
      <c r="C202" s="5">
        <v>1</v>
      </c>
      <c r="D202" s="5">
        <v>1</v>
      </c>
      <c r="E202" s="5">
        <v>1</v>
      </c>
      <c r="F202" s="5">
        <v>1</v>
      </c>
      <c r="G202" s="5">
        <v>1</v>
      </c>
      <c r="H202" s="5">
        <v>1</v>
      </c>
      <c r="I202" s="189">
        <v>1</v>
      </c>
      <c r="J202" s="5">
        <v>1</v>
      </c>
      <c r="K202" s="5">
        <v>1</v>
      </c>
      <c r="L202" s="5">
        <v>1</v>
      </c>
      <c r="M202" s="5">
        <v>1</v>
      </c>
      <c r="N202" s="5">
        <v>1</v>
      </c>
      <c r="O202" s="5">
        <v>1</v>
      </c>
      <c r="P202" s="189">
        <v>1</v>
      </c>
      <c r="Q202" s="5">
        <v>1</v>
      </c>
      <c r="R202" s="5">
        <v>1</v>
      </c>
      <c r="S202" s="5">
        <v>1</v>
      </c>
      <c r="T202" s="5">
        <v>1</v>
      </c>
      <c r="U202" s="5">
        <v>1</v>
      </c>
      <c r="V202" s="189">
        <v>1</v>
      </c>
      <c r="W202" s="189">
        <v>1</v>
      </c>
      <c r="X202" s="5">
        <v>1</v>
      </c>
      <c r="Y202" s="189">
        <v>1</v>
      </c>
      <c r="Z202" s="189">
        <v>1</v>
      </c>
      <c r="AA202" s="189">
        <v>1</v>
      </c>
      <c r="AB202" s="189">
        <v>1</v>
      </c>
      <c r="AC202" s="189">
        <v>1</v>
      </c>
      <c r="AD202" s="189">
        <v>1</v>
      </c>
      <c r="AE202" s="5">
        <v>1</v>
      </c>
      <c r="AF202" s="6">
        <v>1</v>
      </c>
      <c r="AG202" s="49">
        <f t="shared" ref="AG202:AG209" si="28">SUM(B202:AF202)</f>
        <v>31</v>
      </c>
    </row>
    <row r="203" spans="1:35" ht="27" customHeight="1" thickBot="1" x14ac:dyDescent="0.35">
      <c r="A203" s="30" t="s">
        <v>61</v>
      </c>
      <c r="B203" s="187"/>
      <c r="C203" s="5">
        <v>1</v>
      </c>
      <c r="D203" s="5">
        <v>1</v>
      </c>
      <c r="E203" s="5"/>
      <c r="F203" s="5">
        <v>1</v>
      </c>
      <c r="G203" s="5">
        <v>1</v>
      </c>
      <c r="H203" s="5"/>
      <c r="I203" s="189"/>
      <c r="J203" s="5">
        <v>1</v>
      </c>
      <c r="K203" s="5">
        <v>1</v>
      </c>
      <c r="L203" s="5"/>
      <c r="M203" s="5">
        <v>1</v>
      </c>
      <c r="N203" s="5"/>
      <c r="O203" s="5"/>
      <c r="P203" s="189"/>
      <c r="Q203" s="5"/>
      <c r="R203" s="5">
        <v>1</v>
      </c>
      <c r="S203" s="5">
        <v>1</v>
      </c>
      <c r="T203" s="5">
        <v>1</v>
      </c>
      <c r="U203" s="5"/>
      <c r="V203" s="189"/>
      <c r="W203" s="189"/>
      <c r="X203" s="5"/>
      <c r="Y203" s="189"/>
      <c r="Z203" s="189"/>
      <c r="AA203" s="189"/>
      <c r="AB203" s="189"/>
      <c r="AC203" s="189"/>
      <c r="AD203" s="189"/>
      <c r="AE203" s="5"/>
      <c r="AF203" s="6"/>
      <c r="AG203" s="49">
        <f>SUM(B203:AF203)</f>
        <v>10</v>
      </c>
    </row>
    <row r="204" spans="1:35" ht="27" customHeight="1" thickBot="1" x14ac:dyDescent="0.35">
      <c r="A204" s="30" t="s">
        <v>60</v>
      </c>
      <c r="B204" s="187"/>
      <c r="C204" s="5"/>
      <c r="D204" s="5"/>
      <c r="E204" s="5"/>
      <c r="F204" s="5"/>
      <c r="G204" s="5"/>
      <c r="H204" s="5"/>
      <c r="I204" s="189"/>
      <c r="J204" s="5">
        <v>1</v>
      </c>
      <c r="K204" s="5"/>
      <c r="L204" s="5"/>
      <c r="M204" s="5"/>
      <c r="N204" s="5"/>
      <c r="O204" s="5"/>
      <c r="P204" s="189"/>
      <c r="Q204" s="5"/>
      <c r="R204" s="5"/>
      <c r="S204" s="5"/>
      <c r="T204" s="5"/>
      <c r="U204" s="5"/>
      <c r="V204" s="189"/>
      <c r="W204" s="189"/>
      <c r="X204" s="5"/>
      <c r="Y204" s="189"/>
      <c r="Z204" s="189"/>
      <c r="AA204" s="189"/>
      <c r="AB204" s="189"/>
      <c r="AC204" s="189"/>
      <c r="AD204" s="189"/>
      <c r="AE204" s="5"/>
      <c r="AF204" s="6"/>
      <c r="AG204" s="49">
        <f t="shared" si="28"/>
        <v>1</v>
      </c>
    </row>
    <row r="205" spans="1:35" ht="27" customHeight="1" thickBot="1" x14ac:dyDescent="0.35">
      <c r="A205" s="30" t="s">
        <v>62</v>
      </c>
      <c r="B205" s="187"/>
      <c r="C205" s="5"/>
      <c r="D205" s="5"/>
      <c r="E205" s="5"/>
      <c r="F205" s="5"/>
      <c r="G205" s="5"/>
      <c r="H205" s="5"/>
      <c r="I205" s="189"/>
      <c r="J205" s="5"/>
      <c r="K205" s="5"/>
      <c r="L205" s="5"/>
      <c r="M205" s="5"/>
      <c r="N205" s="5"/>
      <c r="O205" s="5"/>
      <c r="P205" s="189"/>
      <c r="Q205" s="5"/>
      <c r="R205" s="5"/>
      <c r="S205" s="5"/>
      <c r="T205" s="5"/>
      <c r="U205" s="5"/>
      <c r="V205" s="189"/>
      <c r="W205" s="189"/>
      <c r="X205" s="5"/>
      <c r="Y205" s="189"/>
      <c r="Z205" s="189"/>
      <c r="AA205" s="189"/>
      <c r="AB205" s="189"/>
      <c r="AC205" s="189"/>
      <c r="AD205" s="189"/>
      <c r="AE205" s="5"/>
      <c r="AF205" s="6"/>
      <c r="AG205" s="49">
        <f t="shared" si="28"/>
        <v>0</v>
      </c>
    </row>
    <row r="206" spans="1:35" ht="27" customHeight="1" thickBot="1" x14ac:dyDescent="0.35">
      <c r="A206" s="30" t="s">
        <v>64</v>
      </c>
      <c r="B206" s="187"/>
      <c r="C206" s="5">
        <v>1</v>
      </c>
      <c r="D206" s="5">
        <v>1</v>
      </c>
      <c r="E206" s="5"/>
      <c r="F206" s="5">
        <v>1</v>
      </c>
      <c r="G206" s="5">
        <v>1</v>
      </c>
      <c r="H206" s="5"/>
      <c r="I206" s="189"/>
      <c r="J206" s="5">
        <v>1</v>
      </c>
      <c r="K206" s="5">
        <v>1</v>
      </c>
      <c r="L206" s="5">
        <v>1</v>
      </c>
      <c r="M206" s="5"/>
      <c r="N206" s="5">
        <v>1</v>
      </c>
      <c r="O206" s="5"/>
      <c r="P206" s="189"/>
      <c r="Q206" s="5">
        <v>1</v>
      </c>
      <c r="R206" s="5"/>
      <c r="S206" s="5">
        <v>1</v>
      </c>
      <c r="T206" s="5">
        <v>1</v>
      </c>
      <c r="U206" s="5"/>
      <c r="V206" s="189"/>
      <c r="W206" s="189"/>
      <c r="X206" s="5"/>
      <c r="Y206" s="189"/>
      <c r="Z206" s="189"/>
      <c r="AA206" s="189"/>
      <c r="AB206" s="189"/>
      <c r="AC206" s="189"/>
      <c r="AD206" s="189"/>
      <c r="AE206" s="5"/>
      <c r="AF206" s="6"/>
      <c r="AG206" s="49">
        <f t="shared" si="28"/>
        <v>11</v>
      </c>
    </row>
    <row r="207" spans="1:35" ht="27" customHeight="1" thickBot="1" x14ac:dyDescent="0.35">
      <c r="A207" s="30" t="s">
        <v>66</v>
      </c>
      <c r="B207" s="187"/>
      <c r="C207" s="5"/>
      <c r="D207" s="5">
        <v>1</v>
      </c>
      <c r="E207" s="5">
        <v>1</v>
      </c>
      <c r="F207" s="5">
        <v>1</v>
      </c>
      <c r="G207" s="5">
        <v>1</v>
      </c>
      <c r="H207" s="5"/>
      <c r="I207" s="189"/>
      <c r="J207" s="5">
        <v>1</v>
      </c>
      <c r="K207" s="5"/>
      <c r="L207" s="5">
        <v>1</v>
      </c>
      <c r="M207" s="5">
        <v>1</v>
      </c>
      <c r="N207" s="5">
        <v>1</v>
      </c>
      <c r="O207" s="5">
        <v>1</v>
      </c>
      <c r="P207" s="189"/>
      <c r="Q207" s="5">
        <v>1</v>
      </c>
      <c r="R207" s="5">
        <v>1</v>
      </c>
      <c r="S207" s="5">
        <v>1</v>
      </c>
      <c r="T207" s="5"/>
      <c r="U207" s="5"/>
      <c r="V207" s="189"/>
      <c r="W207" s="189"/>
      <c r="X207" s="5"/>
      <c r="Y207" s="189"/>
      <c r="Z207" s="189"/>
      <c r="AA207" s="189"/>
      <c r="AB207" s="189"/>
      <c r="AC207" s="189"/>
      <c r="AD207" s="189"/>
      <c r="AE207" s="5"/>
      <c r="AF207" s="6"/>
      <c r="AG207" s="49">
        <f t="shared" si="28"/>
        <v>12</v>
      </c>
    </row>
    <row r="208" spans="1:35" ht="27" customHeight="1" thickBot="1" x14ac:dyDescent="0.35">
      <c r="A208" s="30" t="s">
        <v>59</v>
      </c>
      <c r="B208" s="187"/>
      <c r="C208" s="5"/>
      <c r="D208" s="5"/>
      <c r="E208" s="5"/>
      <c r="F208" s="5"/>
      <c r="G208" s="5"/>
      <c r="H208" s="5"/>
      <c r="I208" s="189"/>
      <c r="J208" s="5"/>
      <c r="K208" s="5"/>
      <c r="L208" s="5"/>
      <c r="M208" s="5"/>
      <c r="N208" s="5"/>
      <c r="O208" s="5"/>
      <c r="P208" s="189"/>
      <c r="Q208" s="5"/>
      <c r="R208" s="5"/>
      <c r="S208" s="5"/>
      <c r="T208" s="5"/>
      <c r="U208" s="5"/>
      <c r="V208" s="189"/>
      <c r="W208" s="189"/>
      <c r="X208" s="5"/>
      <c r="Y208" s="189"/>
      <c r="Z208" s="189"/>
      <c r="AA208" s="189"/>
      <c r="AB208" s="189"/>
      <c r="AC208" s="189"/>
      <c r="AD208" s="189"/>
      <c r="AE208" s="5"/>
      <c r="AF208" s="6"/>
      <c r="AG208" s="49">
        <f t="shared" si="28"/>
        <v>0</v>
      </c>
    </row>
    <row r="209" spans="1:33" ht="27" customHeight="1" thickBot="1" x14ac:dyDescent="0.35">
      <c r="A209" s="32" t="s">
        <v>63</v>
      </c>
      <c r="B209" s="188"/>
      <c r="C209" s="11">
        <v>1</v>
      </c>
      <c r="D209" s="11">
        <v>1</v>
      </c>
      <c r="E209" s="11"/>
      <c r="F209" s="11">
        <v>1</v>
      </c>
      <c r="G209" s="11">
        <v>1</v>
      </c>
      <c r="H209" s="11"/>
      <c r="I209" s="194"/>
      <c r="J209" s="11">
        <v>1</v>
      </c>
      <c r="K209" s="11"/>
      <c r="L209" s="11"/>
      <c r="M209" s="11">
        <v>1</v>
      </c>
      <c r="N209" s="11"/>
      <c r="O209" s="11"/>
      <c r="P209" s="194"/>
      <c r="Q209" s="11"/>
      <c r="R209" s="11"/>
      <c r="S209" s="11">
        <v>1</v>
      </c>
      <c r="T209" s="11">
        <v>1</v>
      </c>
      <c r="U209" s="11"/>
      <c r="V209" s="194"/>
      <c r="W209" s="194"/>
      <c r="X209" s="11"/>
      <c r="Y209" s="194"/>
      <c r="Z209" s="194"/>
      <c r="AA209" s="194"/>
      <c r="AB209" s="194"/>
      <c r="AC209" s="194"/>
      <c r="AD209" s="194"/>
      <c r="AE209" s="11"/>
      <c r="AF209" s="12"/>
      <c r="AG209" s="49">
        <f t="shared" si="28"/>
        <v>8</v>
      </c>
    </row>
    <row r="210" spans="1:33" ht="27" customHeight="1" thickBot="1" x14ac:dyDescent="0.35">
      <c r="A210" s="46" t="s">
        <v>10</v>
      </c>
      <c r="B210" s="76">
        <f>SUM(B201:B209)</f>
        <v>1</v>
      </c>
      <c r="C210" s="76">
        <f t="shared" ref="C210:AF210" si="29">SUM(C201:C209)</f>
        <v>5</v>
      </c>
      <c r="D210" s="76">
        <f t="shared" si="29"/>
        <v>6</v>
      </c>
      <c r="E210" s="76">
        <f t="shared" si="29"/>
        <v>3</v>
      </c>
      <c r="F210" s="76">
        <f t="shared" si="29"/>
        <v>6</v>
      </c>
      <c r="G210" s="76">
        <f t="shared" si="29"/>
        <v>6</v>
      </c>
      <c r="H210" s="76">
        <f t="shared" si="29"/>
        <v>1</v>
      </c>
      <c r="I210" s="76">
        <f t="shared" si="29"/>
        <v>1</v>
      </c>
      <c r="J210" s="76">
        <f t="shared" si="29"/>
        <v>7</v>
      </c>
      <c r="K210" s="76">
        <f t="shared" si="29"/>
        <v>4</v>
      </c>
      <c r="L210" s="76">
        <f t="shared" si="29"/>
        <v>4</v>
      </c>
      <c r="M210" s="76">
        <f t="shared" si="29"/>
        <v>5</v>
      </c>
      <c r="N210" s="76">
        <f t="shared" si="29"/>
        <v>4</v>
      </c>
      <c r="O210" s="76">
        <f t="shared" si="29"/>
        <v>2</v>
      </c>
      <c r="P210" s="76">
        <f t="shared" si="29"/>
        <v>1</v>
      </c>
      <c r="Q210" s="76">
        <f t="shared" si="29"/>
        <v>4</v>
      </c>
      <c r="R210" s="76">
        <f t="shared" si="29"/>
        <v>4</v>
      </c>
      <c r="S210" s="76">
        <f t="shared" si="29"/>
        <v>6</v>
      </c>
      <c r="T210" s="76">
        <f t="shared" si="29"/>
        <v>5</v>
      </c>
      <c r="U210" s="76">
        <f t="shared" si="29"/>
        <v>2</v>
      </c>
      <c r="V210" s="76">
        <f t="shared" si="29"/>
        <v>1</v>
      </c>
      <c r="W210" s="76">
        <f t="shared" si="29"/>
        <v>1</v>
      </c>
      <c r="X210" s="76">
        <f t="shared" si="29"/>
        <v>1</v>
      </c>
      <c r="Y210" s="76">
        <f t="shared" si="29"/>
        <v>1</v>
      </c>
      <c r="Z210" s="76">
        <f t="shared" si="29"/>
        <v>1</v>
      </c>
      <c r="AA210" s="76">
        <f t="shared" si="29"/>
        <v>1</v>
      </c>
      <c r="AB210" s="76">
        <f t="shared" si="29"/>
        <v>1</v>
      </c>
      <c r="AC210" s="76">
        <f t="shared" si="29"/>
        <v>1</v>
      </c>
      <c r="AD210" s="76">
        <f t="shared" si="29"/>
        <v>1</v>
      </c>
      <c r="AE210" s="76">
        <f t="shared" si="29"/>
        <v>1</v>
      </c>
      <c r="AF210" s="76">
        <f t="shared" si="29"/>
        <v>1</v>
      </c>
      <c r="AG210" s="44"/>
    </row>
    <row r="211" spans="1:33" ht="27" customHeight="1" thickBot="1" x14ac:dyDescent="0.3">
      <c r="A211" s="276" t="s">
        <v>336</v>
      </c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277"/>
      <c r="P211" s="277"/>
      <c r="Q211" s="277"/>
      <c r="R211" s="277"/>
      <c r="S211" s="277"/>
      <c r="T211" s="277"/>
      <c r="U211" s="277"/>
      <c r="V211" s="277"/>
      <c r="W211" s="277"/>
      <c r="X211" s="277"/>
      <c r="Y211" s="277"/>
      <c r="Z211" s="277"/>
      <c r="AA211" s="277"/>
      <c r="AB211" s="277"/>
      <c r="AC211" s="277"/>
      <c r="AD211" s="277"/>
      <c r="AE211" s="277"/>
      <c r="AF211" s="277"/>
      <c r="AG211" s="278"/>
    </row>
    <row r="212" spans="1:33" ht="27" customHeight="1" thickBot="1" x14ac:dyDescent="0.35">
      <c r="A212" s="27" t="s">
        <v>67</v>
      </c>
      <c r="B212" s="186"/>
      <c r="C212" s="17"/>
      <c r="D212" s="17"/>
      <c r="E212" s="17"/>
      <c r="F212" s="17"/>
      <c r="G212" s="17"/>
      <c r="H212" s="17"/>
      <c r="I212" s="193"/>
      <c r="J212" s="17"/>
      <c r="K212" s="17"/>
      <c r="L212" s="17"/>
      <c r="M212" s="17"/>
      <c r="N212" s="17"/>
      <c r="O212" s="17"/>
      <c r="P212" s="193"/>
      <c r="Q212" s="17"/>
      <c r="R212" s="17"/>
      <c r="S212" s="17"/>
      <c r="T212" s="17"/>
      <c r="U212" s="17"/>
      <c r="V212" s="193"/>
      <c r="W212" s="193"/>
      <c r="X212" s="17"/>
      <c r="Y212" s="193"/>
      <c r="Z212" s="193"/>
      <c r="AA212" s="193"/>
      <c r="AB212" s="193"/>
      <c r="AC212" s="229"/>
      <c r="AD212" s="193">
        <v>1</v>
      </c>
      <c r="AE212" s="17">
        <v>1</v>
      </c>
      <c r="AF212" s="18"/>
      <c r="AG212" s="49">
        <f>SUM(B212:AF212)</f>
        <v>2</v>
      </c>
    </row>
    <row r="213" spans="1:33" ht="27" customHeight="1" thickBot="1" x14ac:dyDescent="0.35">
      <c r="A213" s="30" t="s">
        <v>68</v>
      </c>
      <c r="B213" s="187"/>
      <c r="C213" s="5"/>
      <c r="D213" s="5"/>
      <c r="E213" s="5"/>
      <c r="F213" s="5"/>
      <c r="G213" s="5"/>
      <c r="H213" s="5"/>
      <c r="I213" s="189"/>
      <c r="J213" s="5"/>
      <c r="K213" s="5"/>
      <c r="L213" s="5"/>
      <c r="M213" s="5"/>
      <c r="N213" s="5"/>
      <c r="O213" s="5"/>
      <c r="P213" s="189"/>
      <c r="Q213" s="5"/>
      <c r="R213" s="5"/>
      <c r="S213" s="5"/>
      <c r="T213" s="5"/>
      <c r="U213" s="5"/>
      <c r="V213" s="189"/>
      <c r="W213" s="189"/>
      <c r="X213" s="5"/>
      <c r="Y213" s="189"/>
      <c r="Z213" s="189"/>
      <c r="AA213" s="189"/>
      <c r="AB213" s="189"/>
      <c r="AC213" s="189"/>
      <c r="AD213" s="189"/>
      <c r="AE213" s="5"/>
      <c r="AF213" s="6"/>
      <c r="AG213" s="49">
        <f t="shared" ref="AG213:AG218" si="30">SUM(B213:AF213)</f>
        <v>0</v>
      </c>
    </row>
    <row r="214" spans="1:33" ht="27" customHeight="1" thickBot="1" x14ac:dyDescent="0.35">
      <c r="A214" s="30" t="s">
        <v>69</v>
      </c>
      <c r="B214" s="187"/>
      <c r="C214" s="5"/>
      <c r="D214" s="5"/>
      <c r="E214" s="5"/>
      <c r="F214" s="5"/>
      <c r="G214" s="5"/>
      <c r="H214" s="5"/>
      <c r="I214" s="189"/>
      <c r="J214" s="5"/>
      <c r="K214" s="5"/>
      <c r="L214" s="5"/>
      <c r="M214" s="5"/>
      <c r="N214" s="5"/>
      <c r="O214" s="5"/>
      <c r="P214" s="189"/>
      <c r="Q214" s="5"/>
      <c r="R214" s="5"/>
      <c r="S214" s="5"/>
      <c r="T214" s="5"/>
      <c r="U214" s="5"/>
      <c r="V214" s="189"/>
      <c r="W214" s="189"/>
      <c r="X214" s="5"/>
      <c r="Y214" s="189"/>
      <c r="Z214" s="189"/>
      <c r="AA214" s="189"/>
      <c r="AB214" s="189"/>
      <c r="AC214" s="189"/>
      <c r="AD214" s="189"/>
      <c r="AE214" s="5"/>
      <c r="AF214" s="6"/>
      <c r="AG214" s="49">
        <f t="shared" si="30"/>
        <v>0</v>
      </c>
    </row>
    <row r="215" spans="1:33" ht="27" customHeight="1" thickBot="1" x14ac:dyDescent="0.35">
      <c r="A215" s="30" t="s">
        <v>70</v>
      </c>
      <c r="B215" s="187"/>
      <c r="C215" s="5"/>
      <c r="D215" s="5"/>
      <c r="E215" s="5"/>
      <c r="F215" s="5"/>
      <c r="G215" s="5"/>
      <c r="H215" s="5"/>
      <c r="I215" s="189"/>
      <c r="J215" s="5"/>
      <c r="K215" s="5"/>
      <c r="L215" s="5"/>
      <c r="M215" s="5"/>
      <c r="N215" s="5"/>
      <c r="O215" s="5"/>
      <c r="P215" s="189"/>
      <c r="Q215" s="5"/>
      <c r="R215" s="5"/>
      <c r="S215" s="5"/>
      <c r="T215" s="5"/>
      <c r="U215" s="5"/>
      <c r="V215" s="189"/>
      <c r="W215" s="189"/>
      <c r="X215" s="5"/>
      <c r="Y215" s="189"/>
      <c r="Z215" s="189"/>
      <c r="AA215" s="189"/>
      <c r="AB215" s="193"/>
      <c r="AC215" s="189"/>
      <c r="AD215" s="189"/>
      <c r="AE215" s="5"/>
      <c r="AF215" s="6"/>
      <c r="AG215" s="49">
        <f t="shared" si="30"/>
        <v>0</v>
      </c>
    </row>
    <row r="216" spans="1:33" ht="27" customHeight="1" thickBot="1" x14ac:dyDescent="0.35">
      <c r="A216" s="30" t="s">
        <v>461</v>
      </c>
      <c r="B216" s="187"/>
      <c r="C216" s="5">
        <v>1</v>
      </c>
      <c r="D216" s="5">
        <v>1</v>
      </c>
      <c r="E216" s="5">
        <v>1</v>
      </c>
      <c r="F216" s="5">
        <v>1</v>
      </c>
      <c r="G216" s="5">
        <v>1</v>
      </c>
      <c r="H216" s="5">
        <v>1</v>
      </c>
      <c r="I216" s="189"/>
      <c r="J216" s="5">
        <v>1</v>
      </c>
      <c r="K216" s="5">
        <v>1</v>
      </c>
      <c r="L216" s="5">
        <v>1</v>
      </c>
      <c r="M216" s="5">
        <v>1</v>
      </c>
      <c r="N216" s="5">
        <v>1</v>
      </c>
      <c r="O216" s="5"/>
      <c r="P216" s="189"/>
      <c r="Q216" s="5">
        <v>1</v>
      </c>
      <c r="R216" s="5">
        <v>1</v>
      </c>
      <c r="S216" s="5">
        <v>1</v>
      </c>
      <c r="T216" s="5">
        <v>1</v>
      </c>
      <c r="U216" s="5">
        <v>1</v>
      </c>
      <c r="V216" s="189"/>
      <c r="W216" s="189"/>
      <c r="X216" s="5">
        <v>1</v>
      </c>
      <c r="Y216" s="189"/>
      <c r="Z216" s="189"/>
      <c r="AA216" s="189"/>
      <c r="AB216" s="189"/>
      <c r="AC216" s="189"/>
      <c r="AD216" s="189"/>
      <c r="AE216" s="5"/>
      <c r="AF216" s="6"/>
      <c r="AG216" s="49">
        <f t="shared" si="30"/>
        <v>17</v>
      </c>
    </row>
    <row r="217" spans="1:33" ht="27" customHeight="1" thickBot="1" x14ac:dyDescent="0.35">
      <c r="A217" s="30" t="s">
        <v>71</v>
      </c>
      <c r="B217" s="187"/>
      <c r="C217" s="5"/>
      <c r="D217" s="5"/>
      <c r="E217" s="5"/>
      <c r="F217" s="5"/>
      <c r="G217" s="5"/>
      <c r="H217" s="5"/>
      <c r="I217" s="189"/>
      <c r="J217" s="5"/>
      <c r="K217" s="5"/>
      <c r="L217" s="5"/>
      <c r="M217" s="5"/>
      <c r="N217" s="5"/>
      <c r="O217" s="5"/>
      <c r="P217" s="189"/>
      <c r="Q217" s="5"/>
      <c r="R217" s="5"/>
      <c r="S217" s="5"/>
      <c r="T217" s="5"/>
      <c r="U217" s="5"/>
      <c r="V217" s="189"/>
      <c r="W217" s="189"/>
      <c r="X217" s="5"/>
      <c r="Y217" s="189"/>
      <c r="Z217" s="189"/>
      <c r="AA217" s="189"/>
      <c r="AB217" s="189"/>
      <c r="AC217" s="189"/>
      <c r="AD217" s="189"/>
      <c r="AE217" s="5"/>
      <c r="AF217" s="6"/>
      <c r="AG217" s="49">
        <f t="shared" si="30"/>
        <v>0</v>
      </c>
    </row>
    <row r="218" spans="1:33" ht="27" customHeight="1" thickBot="1" x14ac:dyDescent="0.35">
      <c r="A218" s="32" t="s">
        <v>466</v>
      </c>
      <c r="B218" s="188"/>
      <c r="C218" s="11">
        <v>1</v>
      </c>
      <c r="D218" s="11">
        <v>1</v>
      </c>
      <c r="E218" s="11">
        <v>1</v>
      </c>
      <c r="F218" s="11">
        <v>1</v>
      </c>
      <c r="G218" s="11">
        <v>1</v>
      </c>
      <c r="H218" s="11">
        <v>1</v>
      </c>
      <c r="I218" s="194"/>
      <c r="J218" s="11">
        <v>1</v>
      </c>
      <c r="K218" s="11">
        <v>1</v>
      </c>
      <c r="L218" s="11">
        <v>1</v>
      </c>
      <c r="M218" s="11">
        <v>1</v>
      </c>
      <c r="N218" s="11">
        <v>1</v>
      </c>
      <c r="O218" s="11"/>
      <c r="P218" s="194"/>
      <c r="Q218" s="11">
        <v>1</v>
      </c>
      <c r="R218" s="11">
        <v>1</v>
      </c>
      <c r="S218" s="11">
        <v>1</v>
      </c>
      <c r="T218" s="11">
        <v>1</v>
      </c>
      <c r="U218" s="11">
        <v>1</v>
      </c>
      <c r="V218" s="194"/>
      <c r="W218" s="194"/>
      <c r="X218" s="11">
        <v>1</v>
      </c>
      <c r="Y218" s="194"/>
      <c r="Z218" s="194"/>
      <c r="AA218" s="194"/>
      <c r="AB218" s="194"/>
      <c r="AC218" s="194"/>
      <c r="AD218" s="194"/>
      <c r="AE218" s="11"/>
      <c r="AF218" s="12"/>
      <c r="AG218" s="49">
        <f t="shared" si="30"/>
        <v>17</v>
      </c>
    </row>
    <row r="219" spans="1:33" ht="27" customHeight="1" thickBot="1" x14ac:dyDescent="0.35">
      <c r="A219" s="46" t="s">
        <v>10</v>
      </c>
      <c r="B219" s="76">
        <f t="shared" ref="B219:AG219" si="31">SUM(B212:B218)</f>
        <v>0</v>
      </c>
      <c r="C219" s="76">
        <f t="shared" si="31"/>
        <v>2</v>
      </c>
      <c r="D219" s="76">
        <f t="shared" si="31"/>
        <v>2</v>
      </c>
      <c r="E219" s="76">
        <f t="shared" si="31"/>
        <v>2</v>
      </c>
      <c r="F219" s="76">
        <f t="shared" si="31"/>
        <v>2</v>
      </c>
      <c r="G219" s="76">
        <f t="shared" si="31"/>
        <v>2</v>
      </c>
      <c r="H219" s="76">
        <f t="shared" si="31"/>
        <v>2</v>
      </c>
      <c r="I219" s="76">
        <f t="shared" si="31"/>
        <v>0</v>
      </c>
      <c r="J219" s="76">
        <f t="shared" si="31"/>
        <v>2</v>
      </c>
      <c r="K219" s="76">
        <f t="shared" si="31"/>
        <v>2</v>
      </c>
      <c r="L219" s="76">
        <f t="shared" si="31"/>
        <v>2</v>
      </c>
      <c r="M219" s="76">
        <f t="shared" si="31"/>
        <v>2</v>
      </c>
      <c r="N219" s="76">
        <f t="shared" si="31"/>
        <v>2</v>
      </c>
      <c r="O219" s="76">
        <f t="shared" si="31"/>
        <v>0</v>
      </c>
      <c r="P219" s="76">
        <f t="shared" si="31"/>
        <v>0</v>
      </c>
      <c r="Q219" s="76">
        <f t="shared" si="31"/>
        <v>2</v>
      </c>
      <c r="R219" s="76">
        <f t="shared" si="31"/>
        <v>2</v>
      </c>
      <c r="S219" s="76">
        <f t="shared" si="31"/>
        <v>2</v>
      </c>
      <c r="T219" s="76">
        <f t="shared" si="31"/>
        <v>2</v>
      </c>
      <c r="U219" s="76">
        <f t="shared" si="31"/>
        <v>2</v>
      </c>
      <c r="V219" s="76">
        <f t="shared" si="31"/>
        <v>0</v>
      </c>
      <c r="W219" s="76">
        <f t="shared" si="31"/>
        <v>0</v>
      </c>
      <c r="X219" s="76">
        <f t="shared" si="31"/>
        <v>2</v>
      </c>
      <c r="Y219" s="76">
        <f t="shared" si="31"/>
        <v>0</v>
      </c>
      <c r="Z219" s="76">
        <f t="shared" si="31"/>
        <v>0</v>
      </c>
      <c r="AA219" s="76">
        <f t="shared" si="31"/>
        <v>0</v>
      </c>
      <c r="AB219" s="76">
        <f t="shared" si="31"/>
        <v>0</v>
      </c>
      <c r="AC219" s="76">
        <f t="shared" si="31"/>
        <v>0</v>
      </c>
      <c r="AD219" s="76">
        <f t="shared" si="31"/>
        <v>1</v>
      </c>
      <c r="AE219" s="76">
        <f t="shared" si="31"/>
        <v>1</v>
      </c>
      <c r="AF219" s="76">
        <f t="shared" si="31"/>
        <v>0</v>
      </c>
      <c r="AG219" s="44">
        <f t="shared" si="31"/>
        <v>36</v>
      </c>
    </row>
    <row r="220" spans="1:33" ht="27" customHeight="1" thickBot="1" x14ac:dyDescent="0.3">
      <c r="A220" s="276" t="s">
        <v>337</v>
      </c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  <c r="AA220" s="277"/>
      <c r="AB220" s="277"/>
      <c r="AC220" s="277"/>
      <c r="AD220" s="277"/>
      <c r="AE220" s="277"/>
      <c r="AF220" s="277"/>
      <c r="AG220" s="278"/>
    </row>
    <row r="221" spans="1:33" ht="27" customHeight="1" thickBot="1" x14ac:dyDescent="0.35">
      <c r="A221" s="27" t="s">
        <v>474</v>
      </c>
      <c r="B221" s="186"/>
      <c r="C221" s="17"/>
      <c r="D221" s="17"/>
      <c r="E221" s="17"/>
      <c r="F221" s="17"/>
      <c r="G221" s="17"/>
      <c r="H221" s="17"/>
      <c r="I221" s="193"/>
      <c r="J221" s="17"/>
      <c r="K221" s="17"/>
      <c r="L221" s="17"/>
      <c r="M221" s="17"/>
      <c r="N221" s="17"/>
      <c r="O221" s="17"/>
      <c r="P221" s="193"/>
      <c r="Q221" s="17"/>
      <c r="R221" s="17"/>
      <c r="S221" s="17"/>
      <c r="T221" s="17"/>
      <c r="U221" s="17"/>
      <c r="V221" s="193"/>
      <c r="W221" s="193"/>
      <c r="X221" s="17"/>
      <c r="Y221" s="193"/>
      <c r="Z221" s="193"/>
      <c r="AA221" s="193"/>
      <c r="AB221" s="193"/>
      <c r="AC221" s="193"/>
      <c r="AD221" s="193"/>
      <c r="AE221" s="17"/>
      <c r="AF221" s="18"/>
      <c r="AG221" s="49">
        <f>SUM(B221:AF221)</f>
        <v>0</v>
      </c>
    </row>
    <row r="222" spans="1:33" ht="27" customHeight="1" thickBot="1" x14ac:dyDescent="0.35">
      <c r="A222" s="30" t="s">
        <v>74</v>
      </c>
      <c r="B222" s="187"/>
      <c r="C222" s="5">
        <v>1</v>
      </c>
      <c r="D222" s="5">
        <v>1</v>
      </c>
      <c r="E222" s="5"/>
      <c r="F222" s="5"/>
      <c r="G222" s="5">
        <v>1</v>
      </c>
      <c r="H222" s="5"/>
      <c r="I222" s="189"/>
      <c r="J222" s="5">
        <v>1</v>
      </c>
      <c r="K222" s="5"/>
      <c r="L222" s="5">
        <v>1</v>
      </c>
      <c r="M222" s="5"/>
      <c r="N222" s="5"/>
      <c r="O222" s="5"/>
      <c r="P222" s="189"/>
      <c r="Q222" s="5"/>
      <c r="R222" s="5"/>
      <c r="S222" s="5">
        <v>1</v>
      </c>
      <c r="T222" s="5">
        <v>1</v>
      </c>
      <c r="U222" s="5"/>
      <c r="V222" s="189"/>
      <c r="W222" s="189"/>
      <c r="X222" s="5">
        <v>1</v>
      </c>
      <c r="Y222" s="189">
        <v>1</v>
      </c>
      <c r="Z222" s="189"/>
      <c r="AA222" s="189"/>
      <c r="AB222" s="189"/>
      <c r="AC222" s="189"/>
      <c r="AD222" s="189"/>
      <c r="AE222" s="5">
        <v>1</v>
      </c>
      <c r="AF222" s="6"/>
      <c r="AG222" s="49">
        <f>SUM(B222:AF222)</f>
        <v>10</v>
      </c>
    </row>
    <row r="223" spans="1:33" ht="27" customHeight="1" thickBot="1" x14ac:dyDescent="0.35">
      <c r="A223" s="32" t="s">
        <v>75</v>
      </c>
      <c r="B223" s="188"/>
      <c r="C223" s="11">
        <v>1</v>
      </c>
      <c r="D223" s="11">
        <v>1</v>
      </c>
      <c r="E223" s="11">
        <v>1</v>
      </c>
      <c r="F223" s="11"/>
      <c r="G223" s="11"/>
      <c r="H223" s="11"/>
      <c r="I223" s="194"/>
      <c r="J223" s="11"/>
      <c r="K223" s="11"/>
      <c r="L223" s="11"/>
      <c r="M223" s="11"/>
      <c r="N223" s="11"/>
      <c r="O223" s="11"/>
      <c r="P223" s="194"/>
      <c r="Q223" s="11"/>
      <c r="R223" s="11"/>
      <c r="S223" s="11"/>
      <c r="T223" s="11"/>
      <c r="U223" s="11"/>
      <c r="V223" s="194"/>
      <c r="W223" s="194"/>
      <c r="X223" s="11"/>
      <c r="Y223" s="194"/>
      <c r="Z223" s="194"/>
      <c r="AA223" s="194"/>
      <c r="AB223" s="194"/>
      <c r="AC223" s="194"/>
      <c r="AD223" s="194"/>
      <c r="AE223" s="11"/>
      <c r="AF223" s="12"/>
      <c r="AG223" s="49">
        <f>SUM(B223:AF223)</f>
        <v>3</v>
      </c>
    </row>
    <row r="224" spans="1:33" ht="27" customHeight="1" thickBot="1" x14ac:dyDescent="0.35">
      <c r="A224" s="46" t="s">
        <v>10</v>
      </c>
      <c r="B224" s="76">
        <f>SUM(B221:B223)</f>
        <v>0</v>
      </c>
      <c r="C224" s="76">
        <f t="shared" ref="C224:AF224" si="32">SUM(C221:C223)</f>
        <v>2</v>
      </c>
      <c r="D224" s="76">
        <f t="shared" si="32"/>
        <v>2</v>
      </c>
      <c r="E224" s="76">
        <f t="shared" si="32"/>
        <v>1</v>
      </c>
      <c r="F224" s="76">
        <f t="shared" si="32"/>
        <v>0</v>
      </c>
      <c r="G224" s="76">
        <f t="shared" si="32"/>
        <v>1</v>
      </c>
      <c r="H224" s="76">
        <f t="shared" si="32"/>
        <v>0</v>
      </c>
      <c r="I224" s="76">
        <f t="shared" si="32"/>
        <v>0</v>
      </c>
      <c r="J224" s="76">
        <f t="shared" si="32"/>
        <v>1</v>
      </c>
      <c r="K224" s="76">
        <f t="shared" si="32"/>
        <v>0</v>
      </c>
      <c r="L224" s="76">
        <f t="shared" si="32"/>
        <v>1</v>
      </c>
      <c r="M224" s="76">
        <f t="shared" si="32"/>
        <v>0</v>
      </c>
      <c r="N224" s="76">
        <f t="shared" si="32"/>
        <v>0</v>
      </c>
      <c r="O224" s="76">
        <f t="shared" si="32"/>
        <v>0</v>
      </c>
      <c r="P224" s="76">
        <f t="shared" si="32"/>
        <v>0</v>
      </c>
      <c r="Q224" s="76">
        <f t="shared" si="32"/>
        <v>0</v>
      </c>
      <c r="R224" s="76">
        <f t="shared" si="32"/>
        <v>0</v>
      </c>
      <c r="S224" s="76">
        <f t="shared" si="32"/>
        <v>1</v>
      </c>
      <c r="T224" s="76">
        <f t="shared" si="32"/>
        <v>1</v>
      </c>
      <c r="U224" s="76">
        <f t="shared" si="32"/>
        <v>0</v>
      </c>
      <c r="V224" s="76">
        <f t="shared" si="32"/>
        <v>0</v>
      </c>
      <c r="W224" s="76">
        <f t="shared" si="32"/>
        <v>0</v>
      </c>
      <c r="X224" s="76">
        <f t="shared" si="32"/>
        <v>1</v>
      </c>
      <c r="Y224" s="76">
        <f t="shared" si="32"/>
        <v>1</v>
      </c>
      <c r="Z224" s="76">
        <f t="shared" si="32"/>
        <v>0</v>
      </c>
      <c r="AA224" s="76">
        <f t="shared" si="32"/>
        <v>0</v>
      </c>
      <c r="AB224" s="76">
        <f t="shared" si="32"/>
        <v>0</v>
      </c>
      <c r="AC224" s="76">
        <f t="shared" si="32"/>
        <v>0</v>
      </c>
      <c r="AD224" s="76">
        <f t="shared" si="32"/>
        <v>0</v>
      </c>
      <c r="AE224" s="76">
        <f t="shared" si="32"/>
        <v>1</v>
      </c>
      <c r="AF224" s="76">
        <f t="shared" si="32"/>
        <v>0</v>
      </c>
      <c r="AG224" s="44">
        <f>SUM(B224:AF224)</f>
        <v>13</v>
      </c>
    </row>
    <row r="225" spans="1:35" ht="27" customHeight="1" thickBot="1" x14ac:dyDescent="0.3">
      <c r="A225" s="276" t="s">
        <v>338</v>
      </c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77"/>
      <c r="AB225" s="277"/>
      <c r="AC225" s="277"/>
      <c r="AD225" s="277"/>
      <c r="AE225" s="277"/>
      <c r="AF225" s="277"/>
      <c r="AG225" s="278"/>
    </row>
    <row r="226" spans="1:35" ht="27" customHeight="1" thickBot="1" x14ac:dyDescent="0.35">
      <c r="A226" s="27" t="s">
        <v>390</v>
      </c>
      <c r="B226" s="186"/>
      <c r="C226" s="17">
        <v>1</v>
      </c>
      <c r="D226" s="17">
        <v>1</v>
      </c>
      <c r="E226" s="17">
        <v>1</v>
      </c>
      <c r="F226" s="17">
        <v>1</v>
      </c>
      <c r="G226" s="17">
        <v>1</v>
      </c>
      <c r="H226" s="17">
        <v>1</v>
      </c>
      <c r="I226" s="193"/>
      <c r="J226" s="17">
        <v>1</v>
      </c>
      <c r="K226" s="17">
        <v>1</v>
      </c>
      <c r="L226" s="17">
        <v>1</v>
      </c>
      <c r="M226" s="17">
        <v>1</v>
      </c>
      <c r="N226" s="17">
        <v>1</v>
      </c>
      <c r="O226" s="17">
        <v>1</v>
      </c>
      <c r="P226" s="193"/>
      <c r="Q226" s="17">
        <v>1</v>
      </c>
      <c r="R226" s="17">
        <v>1</v>
      </c>
      <c r="S226" s="17">
        <v>1</v>
      </c>
      <c r="T226" s="17">
        <v>1</v>
      </c>
      <c r="U226" s="17">
        <v>1</v>
      </c>
      <c r="V226" s="193"/>
      <c r="W226" s="193"/>
      <c r="X226" s="17">
        <v>1</v>
      </c>
      <c r="Y226" s="193"/>
      <c r="Z226" s="193"/>
      <c r="AA226" s="193"/>
      <c r="AB226" s="229"/>
      <c r="AC226" s="193"/>
      <c r="AD226" s="193"/>
      <c r="AE226" s="17"/>
      <c r="AF226" s="18"/>
      <c r="AG226" s="49">
        <f>SUM(B226:AF226)</f>
        <v>18</v>
      </c>
    </row>
    <row r="227" spans="1:35" ht="27" customHeight="1" thickBot="1" x14ac:dyDescent="0.35">
      <c r="A227" s="30" t="s">
        <v>76</v>
      </c>
      <c r="B227" s="187"/>
      <c r="C227" s="5"/>
      <c r="D227" s="5"/>
      <c r="E227" s="5"/>
      <c r="F227" s="5"/>
      <c r="G227" s="5"/>
      <c r="H227" s="5"/>
      <c r="I227" s="189">
        <v>1</v>
      </c>
      <c r="J227" s="5"/>
      <c r="K227" s="5">
        <v>1</v>
      </c>
      <c r="L227" s="5">
        <v>1</v>
      </c>
      <c r="M227" s="5"/>
      <c r="N227" s="5">
        <v>1</v>
      </c>
      <c r="O227" s="5">
        <v>1</v>
      </c>
      <c r="P227" s="189">
        <v>1</v>
      </c>
      <c r="Q227" s="5"/>
      <c r="R227" s="5"/>
      <c r="S227" s="5"/>
      <c r="T227" s="5"/>
      <c r="U227" s="5"/>
      <c r="V227" s="189"/>
      <c r="W227" s="189"/>
      <c r="X227" s="5">
        <v>1</v>
      </c>
      <c r="Y227" s="189">
        <v>1</v>
      </c>
      <c r="Z227" s="189"/>
      <c r="AA227" s="189">
        <v>1</v>
      </c>
      <c r="AB227" s="189"/>
      <c r="AC227" s="189"/>
      <c r="AD227" s="189"/>
      <c r="AE227" s="5"/>
      <c r="AF227" s="6">
        <v>1</v>
      </c>
      <c r="AG227" s="49">
        <f>SUM(B227:AF227)</f>
        <v>10</v>
      </c>
    </row>
    <row r="228" spans="1:35" ht="27" customHeight="1" thickBot="1" x14ac:dyDescent="0.35">
      <c r="A228" s="32" t="s">
        <v>77</v>
      </c>
      <c r="B228" s="188"/>
      <c r="C228" s="11"/>
      <c r="D228" s="11"/>
      <c r="E228" s="11"/>
      <c r="F228" s="11"/>
      <c r="G228" s="11"/>
      <c r="H228" s="11"/>
      <c r="I228" s="194"/>
      <c r="J228" s="11">
        <v>1</v>
      </c>
      <c r="K228" s="11"/>
      <c r="L228" s="11">
        <v>1</v>
      </c>
      <c r="M228" s="11"/>
      <c r="N228" s="11">
        <v>1</v>
      </c>
      <c r="O228" s="11"/>
      <c r="P228" s="194"/>
      <c r="Q228" s="11"/>
      <c r="R228" s="11"/>
      <c r="S228" s="11"/>
      <c r="T228" s="11"/>
      <c r="U228" s="11"/>
      <c r="V228" s="194"/>
      <c r="W228" s="194"/>
      <c r="X228" s="11">
        <v>1</v>
      </c>
      <c r="Y228" s="194"/>
      <c r="Z228" s="194"/>
      <c r="AA228" s="194"/>
      <c r="AB228" s="194"/>
      <c r="AC228" s="194"/>
      <c r="AD228" s="194"/>
      <c r="AE228" s="11"/>
      <c r="AF228" s="12"/>
      <c r="AG228" s="49">
        <f>SUM(B228:AF228)</f>
        <v>4</v>
      </c>
    </row>
    <row r="229" spans="1:35" ht="27" customHeight="1" thickBot="1" x14ac:dyDescent="0.35">
      <c r="A229" s="46" t="s">
        <v>10</v>
      </c>
      <c r="B229" s="76">
        <f>SUM(B226:B228)</f>
        <v>0</v>
      </c>
      <c r="C229" s="76">
        <f t="shared" ref="C229:AF229" si="33">SUM(C226:C228)</f>
        <v>1</v>
      </c>
      <c r="D229" s="76">
        <f t="shared" si="33"/>
        <v>1</v>
      </c>
      <c r="E229" s="76">
        <f t="shared" si="33"/>
        <v>1</v>
      </c>
      <c r="F229" s="76">
        <f t="shared" si="33"/>
        <v>1</v>
      </c>
      <c r="G229" s="76">
        <f t="shared" si="33"/>
        <v>1</v>
      </c>
      <c r="H229" s="76">
        <f t="shared" si="33"/>
        <v>1</v>
      </c>
      <c r="I229" s="76">
        <f t="shared" si="33"/>
        <v>1</v>
      </c>
      <c r="J229" s="76">
        <f t="shared" si="33"/>
        <v>2</v>
      </c>
      <c r="K229" s="76">
        <f t="shared" si="33"/>
        <v>2</v>
      </c>
      <c r="L229" s="76">
        <f t="shared" si="33"/>
        <v>3</v>
      </c>
      <c r="M229" s="76">
        <f t="shared" si="33"/>
        <v>1</v>
      </c>
      <c r="N229" s="76">
        <f t="shared" si="33"/>
        <v>3</v>
      </c>
      <c r="O229" s="76">
        <f t="shared" si="33"/>
        <v>2</v>
      </c>
      <c r="P229" s="76">
        <f t="shared" si="33"/>
        <v>1</v>
      </c>
      <c r="Q229" s="76">
        <f t="shared" si="33"/>
        <v>1</v>
      </c>
      <c r="R229" s="76">
        <f t="shared" si="33"/>
        <v>1</v>
      </c>
      <c r="S229" s="76">
        <f t="shared" si="33"/>
        <v>1</v>
      </c>
      <c r="T229" s="76">
        <f t="shared" si="33"/>
        <v>1</v>
      </c>
      <c r="U229" s="76">
        <f t="shared" si="33"/>
        <v>1</v>
      </c>
      <c r="V229" s="76">
        <f t="shared" si="33"/>
        <v>0</v>
      </c>
      <c r="W229" s="76">
        <f t="shared" si="33"/>
        <v>0</v>
      </c>
      <c r="X229" s="76">
        <f t="shared" si="33"/>
        <v>3</v>
      </c>
      <c r="Y229" s="76">
        <f t="shared" si="33"/>
        <v>1</v>
      </c>
      <c r="Z229" s="76">
        <f t="shared" si="33"/>
        <v>0</v>
      </c>
      <c r="AA229" s="76">
        <f t="shared" si="33"/>
        <v>1</v>
      </c>
      <c r="AB229" s="76">
        <f t="shared" si="33"/>
        <v>0</v>
      </c>
      <c r="AC229" s="76">
        <f>SUM(AC226:AC228)</f>
        <v>0</v>
      </c>
      <c r="AD229" s="76">
        <f t="shared" si="33"/>
        <v>0</v>
      </c>
      <c r="AE229" s="76">
        <f t="shared" si="33"/>
        <v>0</v>
      </c>
      <c r="AF229" s="76">
        <f t="shared" si="33"/>
        <v>1</v>
      </c>
      <c r="AG229" s="44">
        <f>SUM(B229:AF229)</f>
        <v>32</v>
      </c>
    </row>
    <row r="230" spans="1:35" ht="27" customHeight="1" thickBot="1" x14ac:dyDescent="0.3">
      <c r="A230" s="276" t="s">
        <v>458</v>
      </c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I230" s="140"/>
    </row>
    <row r="231" spans="1:35" ht="27" customHeight="1" thickBot="1" x14ac:dyDescent="0.35">
      <c r="A231" s="129" t="s">
        <v>448</v>
      </c>
      <c r="B231" s="186"/>
      <c r="C231" s="17">
        <v>1</v>
      </c>
      <c r="D231" s="17">
        <v>1</v>
      </c>
      <c r="E231" s="17"/>
      <c r="F231" s="17">
        <v>1</v>
      </c>
      <c r="G231" s="17">
        <v>1</v>
      </c>
      <c r="H231" s="17">
        <v>1</v>
      </c>
      <c r="I231" s="193"/>
      <c r="J231" s="17">
        <v>1</v>
      </c>
      <c r="K231" s="17">
        <v>1</v>
      </c>
      <c r="L231" s="17">
        <v>1</v>
      </c>
      <c r="M231" s="17"/>
      <c r="N231" s="5">
        <v>1</v>
      </c>
      <c r="O231" s="5">
        <v>1</v>
      </c>
      <c r="P231" s="193"/>
      <c r="Q231" s="17">
        <v>1</v>
      </c>
      <c r="R231" s="17">
        <v>1</v>
      </c>
      <c r="S231" s="17">
        <v>1</v>
      </c>
      <c r="T231" s="17">
        <v>1</v>
      </c>
      <c r="U231" s="17">
        <v>1</v>
      </c>
      <c r="V231" s="193"/>
      <c r="W231" s="193"/>
      <c r="X231" s="17"/>
      <c r="Y231" s="231"/>
      <c r="Z231" s="231"/>
      <c r="AA231" s="231"/>
      <c r="AB231" s="231"/>
      <c r="AC231" s="231"/>
      <c r="AD231" s="231"/>
      <c r="AE231" s="17"/>
      <c r="AF231" s="18"/>
      <c r="AG231" s="44">
        <f>SUM(B231:AF231)</f>
        <v>15</v>
      </c>
    </row>
    <row r="232" spans="1:35" ht="27" customHeight="1" thickBot="1" x14ac:dyDescent="0.35">
      <c r="A232" s="30" t="s">
        <v>81</v>
      </c>
      <c r="B232" s="187"/>
      <c r="C232" s="5"/>
      <c r="D232" s="5"/>
      <c r="E232" s="5"/>
      <c r="F232" s="5"/>
      <c r="G232" s="5"/>
      <c r="H232" s="5"/>
      <c r="I232" s="189"/>
      <c r="J232" s="5"/>
      <c r="K232" s="5"/>
      <c r="L232" s="5"/>
      <c r="M232" s="5"/>
      <c r="N232" s="5"/>
      <c r="O232" s="5"/>
      <c r="P232" s="189"/>
      <c r="Q232" s="5"/>
      <c r="R232" s="5"/>
      <c r="S232" s="5"/>
      <c r="T232" s="5"/>
      <c r="U232" s="5"/>
      <c r="V232" s="189"/>
      <c r="W232" s="189"/>
      <c r="X232" s="5"/>
      <c r="Y232" s="232"/>
      <c r="Z232" s="232"/>
      <c r="AA232" s="232"/>
      <c r="AB232" s="232"/>
      <c r="AC232" s="232"/>
      <c r="AD232" s="232"/>
      <c r="AE232" s="5"/>
      <c r="AF232" s="6"/>
      <c r="AG232" s="44">
        <f t="shared" ref="AG232:AG239" si="34">SUM(B232:AF232)</f>
        <v>0</v>
      </c>
    </row>
    <row r="233" spans="1:35" ht="27" customHeight="1" thickBot="1" x14ac:dyDescent="0.35">
      <c r="A233" s="30" t="s">
        <v>78</v>
      </c>
      <c r="B233" s="187"/>
      <c r="C233" s="5"/>
      <c r="D233" s="5"/>
      <c r="E233" s="5"/>
      <c r="F233" s="5"/>
      <c r="G233" s="5"/>
      <c r="H233" s="5"/>
      <c r="I233" s="189"/>
      <c r="J233" s="5"/>
      <c r="K233" s="5"/>
      <c r="L233" s="5"/>
      <c r="M233" s="5"/>
      <c r="N233" s="5"/>
      <c r="O233" s="5"/>
      <c r="P233" s="189"/>
      <c r="Q233" s="5"/>
      <c r="R233" s="5"/>
      <c r="S233" s="5"/>
      <c r="T233" s="5"/>
      <c r="U233" s="5"/>
      <c r="V233" s="189"/>
      <c r="W233" s="189"/>
      <c r="X233" s="5"/>
      <c r="Y233" s="232"/>
      <c r="Z233" s="232"/>
      <c r="AA233" s="232"/>
      <c r="AB233" s="232"/>
      <c r="AC233" s="232"/>
      <c r="AD233" s="232"/>
      <c r="AE233" s="5"/>
      <c r="AF233" s="6"/>
      <c r="AG233" s="44">
        <f t="shared" si="34"/>
        <v>0</v>
      </c>
      <c r="AI233" s="50"/>
    </row>
    <row r="234" spans="1:35" ht="27" customHeight="1" thickBot="1" x14ac:dyDescent="0.35">
      <c r="A234" s="30" t="s">
        <v>79</v>
      </c>
      <c r="B234" s="187"/>
      <c r="C234" s="5">
        <v>1</v>
      </c>
      <c r="D234" s="5">
        <v>1</v>
      </c>
      <c r="E234" s="5"/>
      <c r="F234" s="5">
        <v>1</v>
      </c>
      <c r="G234" s="5"/>
      <c r="H234" s="5"/>
      <c r="I234" s="189"/>
      <c r="J234" s="5">
        <v>1</v>
      </c>
      <c r="K234" s="5">
        <v>1</v>
      </c>
      <c r="L234" s="5">
        <v>1</v>
      </c>
      <c r="M234" s="5"/>
      <c r="N234" s="11">
        <v>1</v>
      </c>
      <c r="O234" s="11"/>
      <c r="P234" s="189"/>
      <c r="Q234" s="5"/>
      <c r="R234" s="5"/>
      <c r="S234" s="5">
        <v>1</v>
      </c>
      <c r="T234" s="5">
        <v>1</v>
      </c>
      <c r="U234" s="5">
        <v>1</v>
      </c>
      <c r="V234" s="189"/>
      <c r="W234" s="189"/>
      <c r="X234" s="5"/>
      <c r="Y234" s="232"/>
      <c r="Z234" s="232"/>
      <c r="AA234" s="232"/>
      <c r="AB234" s="232"/>
      <c r="AC234" s="232"/>
      <c r="AD234" s="232"/>
      <c r="AE234" s="5"/>
      <c r="AF234" s="6"/>
      <c r="AG234" s="44">
        <f t="shared" si="34"/>
        <v>10</v>
      </c>
    </row>
    <row r="235" spans="1:35" ht="27" customHeight="1" thickBot="1" x14ac:dyDescent="0.35">
      <c r="A235" s="32" t="s">
        <v>80</v>
      </c>
      <c r="B235" s="188"/>
      <c r="C235" s="11">
        <v>1</v>
      </c>
      <c r="D235" s="11">
        <v>1</v>
      </c>
      <c r="E235" s="11">
        <v>1</v>
      </c>
      <c r="F235" s="11"/>
      <c r="G235" s="11">
        <v>1</v>
      </c>
      <c r="H235" s="11"/>
      <c r="I235" s="194"/>
      <c r="J235" s="11">
        <v>1</v>
      </c>
      <c r="K235" s="11">
        <v>1</v>
      </c>
      <c r="L235" s="11"/>
      <c r="M235" s="11"/>
      <c r="N235" s="5">
        <v>1</v>
      </c>
      <c r="O235" s="5"/>
      <c r="P235" s="194"/>
      <c r="Q235" s="11">
        <v>1</v>
      </c>
      <c r="R235" s="11">
        <v>1</v>
      </c>
      <c r="S235" s="11">
        <v>1</v>
      </c>
      <c r="T235" s="11">
        <v>1</v>
      </c>
      <c r="U235" s="11"/>
      <c r="V235" s="194"/>
      <c r="W235" s="194"/>
      <c r="X235" s="11"/>
      <c r="Y235" s="233"/>
      <c r="Z235" s="233"/>
      <c r="AA235" s="233"/>
      <c r="AB235" s="233"/>
      <c r="AC235" s="233"/>
      <c r="AD235" s="233"/>
      <c r="AE235" s="11"/>
      <c r="AF235" s="12"/>
      <c r="AG235" s="44">
        <f t="shared" si="34"/>
        <v>11</v>
      </c>
    </row>
    <row r="236" spans="1:35" ht="27" customHeight="1" thickBot="1" x14ac:dyDescent="0.35">
      <c r="A236" s="30" t="s">
        <v>437</v>
      </c>
      <c r="B236" s="191"/>
      <c r="C236" s="5">
        <v>1</v>
      </c>
      <c r="D236" s="5">
        <v>1</v>
      </c>
      <c r="E236" s="5"/>
      <c r="F236" s="5">
        <v>1</v>
      </c>
      <c r="G236" s="5">
        <v>1</v>
      </c>
      <c r="H236" s="5"/>
      <c r="I236" s="189"/>
      <c r="J236" s="5">
        <v>1</v>
      </c>
      <c r="K236" s="5"/>
      <c r="L236" s="5"/>
      <c r="M236" s="5"/>
      <c r="N236" s="139"/>
      <c r="O236" s="139"/>
      <c r="P236" s="189"/>
      <c r="Q236" s="5"/>
      <c r="R236" s="5"/>
      <c r="S236" s="5"/>
      <c r="T236" s="5"/>
      <c r="U236" s="5"/>
      <c r="V236" s="189"/>
      <c r="W236" s="189"/>
      <c r="X236" s="5"/>
      <c r="Y236" s="232"/>
      <c r="Z236" s="232"/>
      <c r="AA236" s="232"/>
      <c r="AB236" s="232"/>
      <c r="AC236" s="232"/>
      <c r="AD236" s="232"/>
      <c r="AE236" s="5"/>
      <c r="AF236" s="230"/>
      <c r="AG236" s="44">
        <f t="shared" si="34"/>
        <v>5</v>
      </c>
    </row>
    <row r="237" spans="1:35" ht="27" customHeight="1" thickBot="1" x14ac:dyDescent="0.35">
      <c r="A237" s="128" t="s">
        <v>441</v>
      </c>
      <c r="B237" s="190"/>
      <c r="C237" s="139">
        <v>1</v>
      </c>
      <c r="D237" s="139">
        <v>1</v>
      </c>
      <c r="E237" s="139">
        <v>1</v>
      </c>
      <c r="F237" s="139">
        <v>1</v>
      </c>
      <c r="G237" s="139">
        <v>1</v>
      </c>
      <c r="H237" s="139">
        <v>1</v>
      </c>
      <c r="I237" s="190"/>
      <c r="J237" s="139">
        <v>1</v>
      </c>
      <c r="K237" s="139">
        <v>1</v>
      </c>
      <c r="L237" s="139">
        <v>1</v>
      </c>
      <c r="M237" s="139">
        <v>1</v>
      </c>
      <c r="N237" s="10">
        <v>1</v>
      </c>
      <c r="O237" s="10">
        <v>1</v>
      </c>
      <c r="P237" s="190"/>
      <c r="Q237" s="139">
        <v>1</v>
      </c>
      <c r="R237" s="139">
        <v>1</v>
      </c>
      <c r="S237" s="139">
        <v>1</v>
      </c>
      <c r="T237" s="139"/>
      <c r="U237" s="139"/>
      <c r="V237" s="190"/>
      <c r="W237" s="190"/>
      <c r="X237" s="139"/>
      <c r="Y237" s="234"/>
      <c r="Z237" s="234"/>
      <c r="AA237" s="234"/>
      <c r="AB237" s="234"/>
      <c r="AC237" s="234"/>
      <c r="AD237" s="234"/>
      <c r="AE237" s="139"/>
      <c r="AF237" s="228"/>
      <c r="AG237" s="165">
        <f t="shared" si="34"/>
        <v>15</v>
      </c>
    </row>
    <row r="238" spans="1:35" ht="27" customHeight="1" thickBot="1" x14ac:dyDescent="0.35">
      <c r="A238" s="32" t="s">
        <v>456</v>
      </c>
      <c r="B238" s="187"/>
      <c r="C238" s="5">
        <v>1</v>
      </c>
      <c r="D238" s="5">
        <v>1</v>
      </c>
      <c r="E238" s="5">
        <v>1</v>
      </c>
      <c r="F238" s="5"/>
      <c r="G238" s="5">
        <v>1</v>
      </c>
      <c r="H238" s="5"/>
      <c r="I238" s="189"/>
      <c r="J238" s="5">
        <v>1</v>
      </c>
      <c r="K238" s="5"/>
      <c r="L238" s="5">
        <v>1</v>
      </c>
      <c r="M238" s="5">
        <v>1</v>
      </c>
      <c r="N238" s="5">
        <v>1</v>
      </c>
      <c r="O238" s="5"/>
      <c r="P238" s="189"/>
      <c r="Q238" s="5">
        <v>1</v>
      </c>
      <c r="R238" s="5">
        <v>1</v>
      </c>
      <c r="S238" s="5">
        <v>1</v>
      </c>
      <c r="T238" s="5">
        <v>1</v>
      </c>
      <c r="U238" s="5">
        <v>1</v>
      </c>
      <c r="V238" s="189"/>
      <c r="W238" s="189"/>
      <c r="X238" s="5"/>
      <c r="Y238" s="232"/>
      <c r="Z238" s="232"/>
      <c r="AA238" s="232"/>
      <c r="AB238" s="232"/>
      <c r="AC238" s="232"/>
      <c r="AD238" s="232"/>
      <c r="AE238" s="5"/>
      <c r="AF238" s="6"/>
      <c r="AG238" s="165">
        <f t="shared" si="34"/>
        <v>13</v>
      </c>
    </row>
    <row r="239" spans="1:35" ht="27" customHeight="1" thickBot="1" x14ac:dyDescent="0.35">
      <c r="A239" s="141" t="s">
        <v>452</v>
      </c>
      <c r="B239" s="192"/>
      <c r="C239" s="135">
        <v>1</v>
      </c>
      <c r="D239" s="135">
        <v>1</v>
      </c>
      <c r="E239" s="135">
        <v>1</v>
      </c>
      <c r="F239" s="135">
        <v>1</v>
      </c>
      <c r="G239" s="135">
        <v>1</v>
      </c>
      <c r="H239" s="135">
        <v>1</v>
      </c>
      <c r="I239" s="195"/>
      <c r="J239" s="135">
        <v>1</v>
      </c>
      <c r="K239" s="135">
        <v>1</v>
      </c>
      <c r="L239" s="135">
        <v>1</v>
      </c>
      <c r="M239" s="135">
        <v>1</v>
      </c>
      <c r="N239" s="198">
        <v>1</v>
      </c>
      <c r="O239" s="198">
        <v>1</v>
      </c>
      <c r="P239" s="195"/>
      <c r="Q239" s="135">
        <v>1</v>
      </c>
      <c r="R239" s="135">
        <v>1</v>
      </c>
      <c r="S239" s="135">
        <v>1</v>
      </c>
      <c r="T239" s="135">
        <v>1</v>
      </c>
      <c r="U239" s="135">
        <v>1</v>
      </c>
      <c r="V239" s="195"/>
      <c r="W239" s="195"/>
      <c r="X239" s="135"/>
      <c r="Y239" s="235"/>
      <c r="Z239" s="235"/>
      <c r="AA239" s="235"/>
      <c r="AB239" s="235"/>
      <c r="AC239" s="235"/>
      <c r="AD239" s="235"/>
      <c r="AE239" s="135"/>
      <c r="AF239" s="153"/>
      <c r="AG239" s="44">
        <f t="shared" si="34"/>
        <v>17</v>
      </c>
    </row>
    <row r="240" spans="1:35" ht="27" customHeight="1" thickBot="1" x14ac:dyDescent="0.35">
      <c r="A240" s="46" t="s">
        <v>10</v>
      </c>
      <c r="B240" s="181">
        <f>SUM(B231:B239)</f>
        <v>0</v>
      </c>
      <c r="C240" s="181">
        <f t="shared" ref="C240:AF240" si="35">SUM(C231:C239)</f>
        <v>7</v>
      </c>
      <c r="D240" s="181">
        <f t="shared" si="35"/>
        <v>7</v>
      </c>
      <c r="E240" s="181">
        <f t="shared" si="35"/>
        <v>4</v>
      </c>
      <c r="F240" s="181">
        <f t="shared" si="35"/>
        <v>5</v>
      </c>
      <c r="G240" s="181">
        <f t="shared" si="35"/>
        <v>6</v>
      </c>
      <c r="H240" s="181">
        <f t="shared" si="35"/>
        <v>3</v>
      </c>
      <c r="I240" s="181">
        <f t="shared" si="35"/>
        <v>0</v>
      </c>
      <c r="J240" s="181">
        <f t="shared" si="35"/>
        <v>7</v>
      </c>
      <c r="K240" s="181">
        <f t="shared" si="35"/>
        <v>5</v>
      </c>
      <c r="L240" s="181">
        <f t="shared" si="35"/>
        <v>5</v>
      </c>
      <c r="M240" s="181">
        <f t="shared" si="35"/>
        <v>3</v>
      </c>
      <c r="N240" s="181">
        <f t="shared" si="35"/>
        <v>6</v>
      </c>
      <c r="O240" s="181">
        <f t="shared" si="35"/>
        <v>3</v>
      </c>
      <c r="P240" s="181">
        <f t="shared" si="35"/>
        <v>0</v>
      </c>
      <c r="Q240" s="181">
        <f t="shared" si="35"/>
        <v>5</v>
      </c>
      <c r="R240" s="181">
        <f t="shared" si="35"/>
        <v>5</v>
      </c>
      <c r="S240" s="181">
        <f t="shared" si="35"/>
        <v>6</v>
      </c>
      <c r="T240" s="181">
        <f t="shared" si="35"/>
        <v>5</v>
      </c>
      <c r="U240" s="181">
        <f t="shared" si="35"/>
        <v>4</v>
      </c>
      <c r="V240" s="181">
        <f t="shared" si="35"/>
        <v>0</v>
      </c>
      <c r="W240" s="181">
        <f t="shared" si="35"/>
        <v>0</v>
      </c>
      <c r="X240" s="181">
        <f t="shared" si="35"/>
        <v>0</v>
      </c>
      <c r="Y240" s="181">
        <f t="shared" si="35"/>
        <v>0</v>
      </c>
      <c r="Z240" s="181">
        <f t="shared" si="35"/>
        <v>0</v>
      </c>
      <c r="AA240" s="181">
        <f t="shared" si="35"/>
        <v>0</v>
      </c>
      <c r="AB240" s="181">
        <f t="shared" si="35"/>
        <v>0</v>
      </c>
      <c r="AC240" s="181">
        <f t="shared" si="35"/>
        <v>0</v>
      </c>
      <c r="AD240" s="181">
        <f t="shared" si="35"/>
        <v>0</v>
      </c>
      <c r="AE240" s="181">
        <f t="shared" si="35"/>
        <v>0</v>
      </c>
      <c r="AF240" s="181">
        <f t="shared" si="35"/>
        <v>0</v>
      </c>
      <c r="AG240" s="44">
        <f>SUM(B240:AF240)</f>
        <v>86</v>
      </c>
      <c r="AH240" s="144"/>
    </row>
    <row r="241" spans="1:33" ht="19.5" thickBot="1" x14ac:dyDescent="0.3">
      <c r="A241" s="46" t="s">
        <v>186</v>
      </c>
      <c r="B241" s="154">
        <f t="shared" ref="B241:AF241" si="36">SUM(B224,B240,B229,B14,B29,B45,B60,B79,B90,B99,B104,B109,B120,B134,B149,B165,B180,B199,B210,B219)</f>
        <v>3</v>
      </c>
      <c r="C241" s="154">
        <f t="shared" si="36"/>
        <v>40</v>
      </c>
      <c r="D241" s="154">
        <f t="shared" si="36"/>
        <v>38</v>
      </c>
      <c r="E241" s="154">
        <f t="shared" si="36"/>
        <v>23</v>
      </c>
      <c r="F241" s="154">
        <f t="shared" si="36"/>
        <v>29</v>
      </c>
      <c r="G241" s="154">
        <f t="shared" si="36"/>
        <v>46</v>
      </c>
      <c r="H241" s="154">
        <f t="shared" si="36"/>
        <v>13</v>
      </c>
      <c r="I241" s="154">
        <f t="shared" si="36"/>
        <v>3</v>
      </c>
      <c r="J241" s="154">
        <f t="shared" si="36"/>
        <v>47</v>
      </c>
      <c r="K241" s="154">
        <f t="shared" si="36"/>
        <v>33</v>
      </c>
      <c r="L241" s="154">
        <f t="shared" si="36"/>
        <v>40</v>
      </c>
      <c r="M241" s="154">
        <f t="shared" si="36"/>
        <v>25</v>
      </c>
      <c r="N241" s="154">
        <f t="shared" si="36"/>
        <v>34</v>
      </c>
      <c r="O241" s="154">
        <f t="shared" si="36"/>
        <v>19</v>
      </c>
      <c r="P241" s="154">
        <f t="shared" si="36"/>
        <v>6</v>
      </c>
      <c r="Q241" s="154">
        <f t="shared" si="36"/>
        <v>26</v>
      </c>
      <c r="R241" s="154">
        <f t="shared" si="36"/>
        <v>27</v>
      </c>
      <c r="S241" s="154">
        <f t="shared" si="36"/>
        <v>39</v>
      </c>
      <c r="T241" s="154">
        <f t="shared" si="36"/>
        <v>32</v>
      </c>
      <c r="U241" s="154">
        <f t="shared" si="36"/>
        <v>29</v>
      </c>
      <c r="V241" s="154">
        <f t="shared" si="36"/>
        <v>2</v>
      </c>
      <c r="W241" s="154">
        <f t="shared" si="36"/>
        <v>6</v>
      </c>
      <c r="X241" s="154">
        <f t="shared" si="36"/>
        <v>16</v>
      </c>
      <c r="Y241" s="154">
        <f t="shared" si="36"/>
        <v>6</v>
      </c>
      <c r="Z241" s="154">
        <f t="shared" si="36"/>
        <v>3</v>
      </c>
      <c r="AA241" s="154">
        <f t="shared" si="36"/>
        <v>4</v>
      </c>
      <c r="AB241" s="154">
        <f t="shared" si="36"/>
        <v>2</v>
      </c>
      <c r="AC241" s="154">
        <f t="shared" si="36"/>
        <v>3</v>
      </c>
      <c r="AD241" s="154">
        <f t="shared" si="36"/>
        <v>3</v>
      </c>
      <c r="AE241" s="154">
        <f t="shared" si="36"/>
        <v>12</v>
      </c>
      <c r="AF241" s="154">
        <f t="shared" si="36"/>
        <v>6</v>
      </c>
      <c r="AG241" s="167">
        <f>SUM(B241:AF241)</f>
        <v>615</v>
      </c>
    </row>
    <row r="242" spans="1:33" x14ac:dyDescent="0.25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</row>
    <row r="243" spans="1:33" x14ac:dyDescent="0.25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</row>
    <row r="244" spans="1:33" x14ac:dyDescent="0.25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</row>
    <row r="245" spans="1:33" x14ac:dyDescent="0.2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</row>
    <row r="246" spans="1:33" x14ac:dyDescent="0.25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</row>
    <row r="247" spans="1:33" x14ac:dyDescent="0.25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</row>
    <row r="248" spans="1:33" x14ac:dyDescent="0.25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</row>
  </sheetData>
  <sheetProtection formatCells="0" formatColumns="0"/>
  <mergeCells count="22">
    <mergeCell ref="A225:AG225"/>
    <mergeCell ref="A230:AG230"/>
    <mergeCell ref="A166:AG166"/>
    <mergeCell ref="A181:AG181"/>
    <mergeCell ref="A200:AG200"/>
    <mergeCell ref="A211:AG211"/>
    <mergeCell ref="A220:AG220"/>
    <mergeCell ref="A110:AG110"/>
    <mergeCell ref="A122:AG122"/>
    <mergeCell ref="A123:AG123"/>
    <mergeCell ref="A135:AG135"/>
    <mergeCell ref="A150:AG150"/>
    <mergeCell ref="A61:AG61"/>
    <mergeCell ref="A80:AG80"/>
    <mergeCell ref="A91:AG91"/>
    <mergeCell ref="A100:AG100"/>
    <mergeCell ref="A105:AG105"/>
    <mergeCell ref="A2:AG2"/>
    <mergeCell ref="A3:AG3"/>
    <mergeCell ref="A15:AG15"/>
    <mergeCell ref="A30:AG30"/>
    <mergeCell ref="A46:AG4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workbookViewId="0">
      <pane ySplit="1" topLeftCell="A22" activePane="bottomLeft" state="frozen"/>
      <selection pane="bottomLeft" activeCell="AI37" sqref="AI37"/>
    </sheetView>
  </sheetViews>
  <sheetFormatPr defaultRowHeight="15" x14ac:dyDescent="0.25"/>
  <cols>
    <col min="1" max="1" width="37.5703125" style="42" bestFit="1" customWidth="1"/>
    <col min="2" max="32" width="4.42578125" style="42" customWidth="1"/>
    <col min="33" max="33" width="11.7109375" style="42" bestFit="1" customWidth="1"/>
    <col min="34" max="16384" width="9.140625" style="42"/>
  </cols>
  <sheetData>
    <row r="1" spans="1:33" s="41" customFormat="1" ht="19.5" thickBot="1" x14ac:dyDescent="0.35">
      <c r="A1" s="36" t="s">
        <v>190</v>
      </c>
      <c r="B1" s="37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8">
        <v>30</v>
      </c>
      <c r="AF1" s="39">
        <v>31</v>
      </c>
      <c r="AG1" s="40" t="s">
        <v>10</v>
      </c>
    </row>
    <row r="2" spans="1:33" ht="32.25" thickBot="1" x14ac:dyDescent="0.55000000000000004">
      <c r="A2" s="257" t="s">
        <v>188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9"/>
    </row>
    <row r="3" spans="1:33" s="41" customFormat="1" ht="19.5" thickBot="1" x14ac:dyDescent="0.35">
      <c r="A3" s="260" t="s">
        <v>310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2"/>
    </row>
    <row r="4" spans="1:33" ht="27" customHeight="1" thickBot="1" x14ac:dyDescent="0.35">
      <c r="A4" s="134" t="s">
        <v>312</v>
      </c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3"/>
      <c r="AG4" s="45">
        <f>SUM(B4:AF4)</f>
        <v>0</v>
      </c>
    </row>
    <row r="5" spans="1:33" ht="27" customHeight="1" thickBot="1" x14ac:dyDescent="0.35">
      <c r="A5" s="35" t="s">
        <v>313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44">
        <f t="shared" ref="AG5:AG18" si="0">SUM(B5:AF5)</f>
        <v>0</v>
      </c>
    </row>
    <row r="6" spans="1:33" ht="27" customHeight="1" thickBot="1" x14ac:dyDescent="0.35">
      <c r="A6" s="133" t="s">
        <v>314</v>
      </c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3"/>
      <c r="AG6" s="45">
        <f t="shared" si="0"/>
        <v>0</v>
      </c>
    </row>
    <row r="7" spans="1:33" ht="27" customHeight="1" thickBot="1" x14ac:dyDescent="0.35">
      <c r="A7" s="35" t="s">
        <v>315</v>
      </c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44">
        <f t="shared" si="0"/>
        <v>0</v>
      </c>
    </row>
    <row r="8" spans="1:33" ht="27" customHeight="1" thickBot="1" x14ac:dyDescent="0.35">
      <c r="A8" s="132" t="s">
        <v>317</v>
      </c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45">
        <f t="shared" si="0"/>
        <v>0</v>
      </c>
    </row>
    <row r="9" spans="1:33" ht="27" customHeight="1" thickBot="1" x14ac:dyDescent="0.35">
      <c r="A9" s="65" t="s">
        <v>319</v>
      </c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6"/>
      <c r="AG9" s="44">
        <f t="shared" si="0"/>
        <v>0</v>
      </c>
    </row>
    <row r="10" spans="1:33" ht="27" customHeight="1" thickBot="1" x14ac:dyDescent="0.35">
      <c r="A10" s="63" t="s">
        <v>365</v>
      </c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/>
      <c r="AG10" s="45">
        <f t="shared" si="0"/>
        <v>0</v>
      </c>
    </row>
    <row r="11" spans="1:33" ht="27" customHeight="1" thickBot="1" x14ac:dyDescent="0.35">
      <c r="A11" s="65" t="s">
        <v>433</v>
      </c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6"/>
      <c r="AG11" s="44">
        <f t="shared" si="0"/>
        <v>0</v>
      </c>
    </row>
    <row r="12" spans="1:33" ht="27" customHeight="1" thickBot="1" x14ac:dyDescent="0.35">
      <c r="A12" s="63" t="s">
        <v>434</v>
      </c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9"/>
      <c r="AG12" s="45">
        <f t="shared" si="0"/>
        <v>0</v>
      </c>
    </row>
    <row r="13" spans="1:33" ht="27" customHeight="1" thickBot="1" x14ac:dyDescent="0.35">
      <c r="A13" s="65" t="s">
        <v>435</v>
      </c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6"/>
      <c r="AG13" s="44">
        <f t="shared" si="0"/>
        <v>0</v>
      </c>
    </row>
    <row r="14" spans="1:33" ht="27" customHeight="1" thickBot="1" x14ac:dyDescent="0.35">
      <c r="A14" s="63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9"/>
      <c r="AG14" s="45">
        <f t="shared" si="0"/>
        <v>0</v>
      </c>
    </row>
    <row r="15" spans="1:33" ht="27" customHeight="1" thickBot="1" x14ac:dyDescent="0.35">
      <c r="A15" s="65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6"/>
      <c r="AG15" s="44">
        <f t="shared" si="0"/>
        <v>0</v>
      </c>
    </row>
    <row r="16" spans="1:33" ht="27" customHeight="1" thickBot="1" x14ac:dyDescent="0.35">
      <c r="A16" s="63"/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9"/>
      <c r="AG16" s="45">
        <f t="shared" si="0"/>
        <v>0</v>
      </c>
    </row>
    <row r="17" spans="1:34" ht="27" customHeight="1" thickBot="1" x14ac:dyDescent="0.35">
      <c r="A17" s="65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6"/>
      <c r="AG17" s="44">
        <f t="shared" si="0"/>
        <v>0</v>
      </c>
      <c r="AH17" s="50"/>
    </row>
    <row r="18" spans="1:34" ht="27" customHeight="1" thickBot="1" x14ac:dyDescent="0.35">
      <c r="A18" s="28"/>
      <c r="B18" s="64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1"/>
      <c r="AG18" s="45">
        <f t="shared" si="0"/>
        <v>0</v>
      </c>
    </row>
    <row r="19" spans="1:34" ht="27" customHeight="1" thickBot="1" x14ac:dyDescent="0.35">
      <c r="A19" s="72" t="s">
        <v>10</v>
      </c>
      <c r="B19" s="75">
        <f>SUM(B4:B18)</f>
        <v>0</v>
      </c>
      <c r="C19" s="75">
        <f t="shared" ref="C19:AF19" si="1">SUM(C4:C18)</f>
        <v>0</v>
      </c>
      <c r="D19" s="75">
        <f t="shared" si="1"/>
        <v>0</v>
      </c>
      <c r="E19" s="75">
        <f t="shared" si="1"/>
        <v>0</v>
      </c>
      <c r="F19" s="75">
        <f t="shared" si="1"/>
        <v>0</v>
      </c>
      <c r="G19" s="75">
        <f t="shared" si="1"/>
        <v>0</v>
      </c>
      <c r="H19" s="75">
        <f t="shared" si="1"/>
        <v>0</v>
      </c>
      <c r="I19" s="75">
        <f t="shared" si="1"/>
        <v>0</v>
      </c>
      <c r="J19" s="75">
        <f t="shared" si="1"/>
        <v>0</v>
      </c>
      <c r="K19" s="75">
        <f t="shared" si="1"/>
        <v>0</v>
      </c>
      <c r="L19" s="75">
        <f t="shared" si="1"/>
        <v>0</v>
      </c>
      <c r="M19" s="75">
        <f t="shared" si="1"/>
        <v>0</v>
      </c>
      <c r="N19" s="75">
        <f t="shared" si="1"/>
        <v>0</v>
      </c>
      <c r="O19" s="75">
        <f t="shared" si="1"/>
        <v>0</v>
      </c>
      <c r="P19" s="75">
        <f t="shared" si="1"/>
        <v>0</v>
      </c>
      <c r="Q19" s="75">
        <f t="shared" si="1"/>
        <v>0</v>
      </c>
      <c r="R19" s="75">
        <f t="shared" si="1"/>
        <v>0</v>
      </c>
      <c r="S19" s="75">
        <f t="shared" si="1"/>
        <v>0</v>
      </c>
      <c r="T19" s="75">
        <f t="shared" si="1"/>
        <v>0</v>
      </c>
      <c r="U19" s="75">
        <f t="shared" si="1"/>
        <v>0</v>
      </c>
      <c r="V19" s="75">
        <f t="shared" si="1"/>
        <v>0</v>
      </c>
      <c r="W19" s="75">
        <f t="shared" si="1"/>
        <v>0</v>
      </c>
      <c r="X19" s="75">
        <f t="shared" si="1"/>
        <v>0</v>
      </c>
      <c r="Y19" s="75">
        <f t="shared" si="1"/>
        <v>0</v>
      </c>
      <c r="Z19" s="75">
        <f t="shared" si="1"/>
        <v>0</v>
      </c>
      <c r="AA19" s="75">
        <f t="shared" si="1"/>
        <v>0</v>
      </c>
      <c r="AB19" s="75">
        <f t="shared" si="1"/>
        <v>0</v>
      </c>
      <c r="AC19" s="75">
        <f t="shared" si="1"/>
        <v>0</v>
      </c>
      <c r="AD19" s="75">
        <f t="shared" si="1"/>
        <v>0</v>
      </c>
      <c r="AE19" s="75">
        <f t="shared" si="1"/>
        <v>0</v>
      </c>
      <c r="AF19" s="75">
        <f t="shared" si="1"/>
        <v>0</v>
      </c>
      <c r="AG19" s="45">
        <f>SUM(AG4:AG18)</f>
        <v>0</v>
      </c>
    </row>
    <row r="20" spans="1:34" ht="32.25" thickBot="1" x14ac:dyDescent="0.55000000000000004">
      <c r="A20" s="257" t="s">
        <v>189</v>
      </c>
      <c r="B20" s="258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  <c r="AA20" s="258"/>
      <c r="AB20" s="258"/>
      <c r="AC20" s="258"/>
      <c r="AD20" s="258"/>
      <c r="AE20" s="258"/>
      <c r="AF20" s="258"/>
      <c r="AG20" s="259"/>
    </row>
    <row r="21" spans="1:34" ht="19.5" thickBot="1" x14ac:dyDescent="0.35">
      <c r="A21" s="260" t="s">
        <v>310</v>
      </c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  <c r="AE21" s="261"/>
      <c r="AF21" s="261"/>
      <c r="AG21" s="262"/>
    </row>
    <row r="22" spans="1:34" ht="27" customHeight="1" thickBot="1" x14ac:dyDescent="0.35">
      <c r="A22" s="26" t="str">
        <f>A4</f>
        <v>Kaposi Bettina</v>
      </c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3"/>
      <c r="AG22" s="43">
        <f>SUM(B22:AF22)</f>
        <v>0</v>
      </c>
    </row>
    <row r="23" spans="1:34" ht="27" customHeight="1" thickBot="1" x14ac:dyDescent="0.35">
      <c r="A23" s="27" t="str">
        <f>A5</f>
        <v>Deákné Burai Anikó</v>
      </c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49">
        <f t="shared" ref="AG23:AG36" si="2">SUM(B23:AF23)</f>
        <v>0</v>
      </c>
    </row>
    <row r="24" spans="1:34" ht="27" customHeight="1" thickBot="1" x14ac:dyDescent="0.35">
      <c r="A24" s="26" t="str">
        <f>A6</f>
        <v>Papp Katalin</v>
      </c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3"/>
      <c r="AG24" s="43">
        <f t="shared" si="2"/>
        <v>0</v>
      </c>
    </row>
    <row r="25" spans="1:34" ht="27" customHeight="1" thickBot="1" x14ac:dyDescent="0.35">
      <c r="A25" s="27" t="str">
        <f>A7</f>
        <v>Tyichi Szilárd</v>
      </c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49">
        <f t="shared" si="2"/>
        <v>0</v>
      </c>
    </row>
    <row r="26" spans="1:34" ht="27" customHeight="1" thickBot="1" x14ac:dyDescent="0.35">
      <c r="A26" s="26" t="str">
        <f>A8</f>
        <v>Gombár György</v>
      </c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3"/>
      <c r="AG26" s="43">
        <f t="shared" si="2"/>
        <v>0</v>
      </c>
    </row>
    <row r="27" spans="1:34" ht="27" customHeight="1" thickBot="1" x14ac:dyDescent="0.35">
      <c r="A27" s="27" t="str">
        <f t="shared" ref="A27:A36" si="3">A9</f>
        <v>Pápai Vivien</v>
      </c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49">
        <f t="shared" si="2"/>
        <v>0</v>
      </c>
      <c r="AH27" s="81"/>
    </row>
    <row r="28" spans="1:34" ht="27" customHeight="1" thickBot="1" x14ac:dyDescent="0.35">
      <c r="A28" s="26" t="str">
        <f t="shared" si="3"/>
        <v>Gergye Brigitta</v>
      </c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3"/>
      <c r="AG28" s="43">
        <f t="shared" si="2"/>
        <v>0</v>
      </c>
    </row>
    <row r="29" spans="1:34" ht="27" customHeight="1" thickBot="1" x14ac:dyDescent="0.35">
      <c r="A29" s="27" t="str">
        <f t="shared" si="3"/>
        <v>Szopka Anikó</v>
      </c>
      <c r="B29" s="16"/>
      <c r="C29" s="17"/>
      <c r="D29" s="17"/>
      <c r="E29" s="17"/>
      <c r="F29" s="1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6"/>
      <c r="AG29" s="49">
        <f t="shared" si="2"/>
        <v>0</v>
      </c>
    </row>
    <row r="30" spans="1:34" ht="27" customHeight="1" thickBot="1" x14ac:dyDescent="0.35">
      <c r="A30" s="26" t="str">
        <f t="shared" si="3"/>
        <v>Aradi Orsolya</v>
      </c>
      <c r="B30" s="1"/>
      <c r="C30" s="2"/>
      <c r="D30" s="2"/>
      <c r="E30" s="2"/>
      <c r="F30" s="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9"/>
      <c r="AG30" s="43">
        <f t="shared" si="2"/>
        <v>0</v>
      </c>
    </row>
    <row r="31" spans="1:34" ht="27" customHeight="1" thickBot="1" x14ac:dyDescent="0.35">
      <c r="A31" s="27" t="str">
        <f t="shared" si="3"/>
        <v>Csikós Zsanett</v>
      </c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8"/>
      <c r="AG31" s="49">
        <f t="shared" si="2"/>
        <v>0</v>
      </c>
    </row>
    <row r="32" spans="1:34" ht="27" customHeight="1" thickBot="1" x14ac:dyDescent="0.35">
      <c r="A32" s="26">
        <f t="shared" si="3"/>
        <v>0</v>
      </c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3"/>
      <c r="AG32" s="43">
        <f t="shared" si="2"/>
        <v>0</v>
      </c>
    </row>
    <row r="33" spans="1:33" ht="27" customHeight="1" thickBot="1" x14ac:dyDescent="0.35">
      <c r="A33" s="27">
        <f t="shared" si="3"/>
        <v>0</v>
      </c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8"/>
      <c r="AG33" s="49">
        <f t="shared" si="2"/>
        <v>0</v>
      </c>
    </row>
    <row r="34" spans="1:33" ht="27" customHeight="1" thickBot="1" x14ac:dyDescent="0.35">
      <c r="A34" s="26">
        <f t="shared" si="3"/>
        <v>0</v>
      </c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3"/>
      <c r="AG34" s="43">
        <f t="shared" si="2"/>
        <v>0</v>
      </c>
    </row>
    <row r="35" spans="1:33" ht="27" customHeight="1" thickBot="1" x14ac:dyDescent="0.35">
      <c r="A35" s="27">
        <f t="shared" si="3"/>
        <v>0</v>
      </c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8"/>
      <c r="AG35" s="49">
        <f t="shared" si="2"/>
        <v>0</v>
      </c>
    </row>
    <row r="36" spans="1:33" ht="27" customHeight="1" thickBot="1" x14ac:dyDescent="0.35">
      <c r="A36" s="26">
        <f t="shared" si="3"/>
        <v>0</v>
      </c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  <c r="AG36" s="43">
        <f t="shared" si="2"/>
        <v>0</v>
      </c>
    </row>
    <row r="37" spans="1:33" ht="27" customHeight="1" thickBot="1" x14ac:dyDescent="0.35">
      <c r="A37" s="46" t="s">
        <v>10</v>
      </c>
      <c r="B37" s="70">
        <f>SUM(B22:B36)</f>
        <v>0</v>
      </c>
      <c r="C37" s="70">
        <f t="shared" ref="C37:AF37" si="4">SUM(C22:C36)</f>
        <v>0</v>
      </c>
      <c r="D37" s="70">
        <f t="shared" si="4"/>
        <v>0</v>
      </c>
      <c r="E37" s="70">
        <f t="shared" si="4"/>
        <v>0</v>
      </c>
      <c r="F37" s="70">
        <f t="shared" si="4"/>
        <v>0</v>
      </c>
      <c r="G37" s="70">
        <f t="shared" si="4"/>
        <v>0</v>
      </c>
      <c r="H37" s="70">
        <f t="shared" si="4"/>
        <v>0</v>
      </c>
      <c r="I37" s="70">
        <f t="shared" si="4"/>
        <v>0</v>
      </c>
      <c r="J37" s="70">
        <f t="shared" si="4"/>
        <v>0</v>
      </c>
      <c r="K37" s="70">
        <f t="shared" si="4"/>
        <v>0</v>
      </c>
      <c r="L37" s="70">
        <f t="shared" si="4"/>
        <v>0</v>
      </c>
      <c r="M37" s="70">
        <f t="shared" si="4"/>
        <v>0</v>
      </c>
      <c r="N37" s="70">
        <f t="shared" si="4"/>
        <v>0</v>
      </c>
      <c r="O37" s="70">
        <f t="shared" si="4"/>
        <v>0</v>
      </c>
      <c r="P37" s="70">
        <f t="shared" si="4"/>
        <v>0</v>
      </c>
      <c r="Q37" s="70">
        <f t="shared" si="4"/>
        <v>0</v>
      </c>
      <c r="R37" s="70">
        <f t="shared" si="4"/>
        <v>0</v>
      </c>
      <c r="S37" s="70">
        <f t="shared" si="4"/>
        <v>0</v>
      </c>
      <c r="T37" s="70">
        <f t="shared" si="4"/>
        <v>0</v>
      </c>
      <c r="U37" s="70">
        <f t="shared" si="4"/>
        <v>0</v>
      </c>
      <c r="V37" s="70">
        <f t="shared" si="4"/>
        <v>0</v>
      </c>
      <c r="W37" s="70">
        <f t="shared" si="4"/>
        <v>0</v>
      </c>
      <c r="X37" s="70">
        <f t="shared" si="4"/>
        <v>0</v>
      </c>
      <c r="Y37" s="70">
        <f t="shared" si="4"/>
        <v>0</v>
      </c>
      <c r="Z37" s="70">
        <f t="shared" si="4"/>
        <v>0</v>
      </c>
      <c r="AA37" s="70">
        <f t="shared" si="4"/>
        <v>0</v>
      </c>
      <c r="AB37" s="70">
        <f t="shared" si="4"/>
        <v>0</v>
      </c>
      <c r="AC37" s="70">
        <f t="shared" si="4"/>
        <v>0</v>
      </c>
      <c r="AD37" s="70">
        <f t="shared" si="4"/>
        <v>0</v>
      </c>
      <c r="AE37" s="70">
        <f t="shared" si="4"/>
        <v>0</v>
      </c>
      <c r="AF37" s="70">
        <f t="shared" si="4"/>
        <v>0</v>
      </c>
      <c r="AG37" s="44">
        <f>SUM(AG22:AG36)</f>
        <v>0</v>
      </c>
    </row>
    <row r="38" spans="1:33" ht="27" customHeight="1" thickBot="1" x14ac:dyDescent="0.3">
      <c r="A38" s="72" t="s">
        <v>186</v>
      </c>
      <c r="B38" s="73">
        <f>SUM(B19,B37)</f>
        <v>0</v>
      </c>
      <c r="C38" s="73">
        <f t="shared" ref="C38:AF38" si="5">SUM(C19,C37)</f>
        <v>0</v>
      </c>
      <c r="D38" s="73">
        <f t="shared" si="5"/>
        <v>0</v>
      </c>
      <c r="E38" s="73">
        <f t="shared" si="5"/>
        <v>0</v>
      </c>
      <c r="F38" s="73">
        <f t="shared" si="5"/>
        <v>0</v>
      </c>
      <c r="G38" s="73">
        <f t="shared" si="5"/>
        <v>0</v>
      </c>
      <c r="H38" s="73">
        <f t="shared" si="5"/>
        <v>0</v>
      </c>
      <c r="I38" s="73">
        <f t="shared" si="5"/>
        <v>0</v>
      </c>
      <c r="J38" s="73">
        <f t="shared" si="5"/>
        <v>0</v>
      </c>
      <c r="K38" s="73">
        <f t="shared" si="5"/>
        <v>0</v>
      </c>
      <c r="L38" s="73">
        <f t="shared" si="5"/>
        <v>0</v>
      </c>
      <c r="M38" s="73">
        <f t="shared" si="5"/>
        <v>0</v>
      </c>
      <c r="N38" s="73">
        <f t="shared" si="5"/>
        <v>0</v>
      </c>
      <c r="O38" s="73">
        <f t="shared" si="5"/>
        <v>0</v>
      </c>
      <c r="P38" s="73">
        <f t="shared" si="5"/>
        <v>0</v>
      </c>
      <c r="Q38" s="73">
        <f t="shared" si="5"/>
        <v>0</v>
      </c>
      <c r="R38" s="73">
        <f t="shared" si="5"/>
        <v>0</v>
      </c>
      <c r="S38" s="73">
        <f t="shared" si="5"/>
        <v>0</v>
      </c>
      <c r="T38" s="73">
        <f t="shared" si="5"/>
        <v>0</v>
      </c>
      <c r="U38" s="73">
        <f t="shared" si="5"/>
        <v>0</v>
      </c>
      <c r="V38" s="73">
        <f t="shared" si="5"/>
        <v>0</v>
      </c>
      <c r="W38" s="73">
        <f t="shared" si="5"/>
        <v>0</v>
      </c>
      <c r="X38" s="73">
        <f t="shared" si="5"/>
        <v>0</v>
      </c>
      <c r="Y38" s="73">
        <f t="shared" si="5"/>
        <v>0</v>
      </c>
      <c r="Z38" s="73">
        <f t="shared" si="5"/>
        <v>0</v>
      </c>
      <c r="AA38" s="73">
        <f t="shared" si="5"/>
        <v>0</v>
      </c>
      <c r="AB38" s="73">
        <f t="shared" si="5"/>
        <v>0</v>
      </c>
      <c r="AC38" s="73">
        <f t="shared" si="5"/>
        <v>0</v>
      </c>
      <c r="AD38" s="73">
        <f t="shared" si="5"/>
        <v>0</v>
      </c>
      <c r="AE38" s="73">
        <f t="shared" si="5"/>
        <v>0</v>
      </c>
      <c r="AF38" s="73">
        <f t="shared" si="5"/>
        <v>0</v>
      </c>
      <c r="AG38" s="74"/>
    </row>
  </sheetData>
  <sheetProtection formatCells="0" formatColumns="0"/>
  <mergeCells count="4">
    <mergeCell ref="A2:AG2"/>
    <mergeCell ref="A3:AG3"/>
    <mergeCell ref="A20:AG20"/>
    <mergeCell ref="A21:AG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7"/>
  <sheetViews>
    <sheetView workbookViewId="0">
      <selection activeCell="A4" sqref="A4:I4"/>
    </sheetView>
  </sheetViews>
  <sheetFormatPr defaultRowHeight="15" x14ac:dyDescent="0.25"/>
  <cols>
    <col min="1" max="1" width="5.7109375" style="42" bestFit="1" customWidth="1"/>
    <col min="2" max="2" width="24.85546875" style="42" customWidth="1"/>
    <col min="3" max="3" width="12.28515625" style="42" bestFit="1" customWidth="1"/>
    <col min="4" max="4" width="16" style="42" customWidth="1"/>
    <col min="5" max="5" width="10.28515625" style="42" customWidth="1"/>
    <col min="6" max="6" width="13.140625" style="42" bestFit="1" customWidth="1"/>
    <col min="7" max="7" width="10.28515625" style="42" customWidth="1"/>
    <col min="8" max="8" width="13.140625" style="42" bestFit="1" customWidth="1"/>
    <col min="9" max="9" width="16.42578125" style="42" customWidth="1"/>
    <col min="10" max="16384" width="9.140625" style="42"/>
  </cols>
  <sheetData>
    <row r="1" spans="1:9" ht="39" customHeight="1" x14ac:dyDescent="0.25">
      <c r="A1" s="265" t="s">
        <v>82</v>
      </c>
      <c r="B1" s="266"/>
      <c r="C1" s="266"/>
      <c r="D1" s="266"/>
      <c r="E1" s="266"/>
      <c r="F1" s="266"/>
      <c r="G1" s="267"/>
      <c r="H1" s="51" t="s">
        <v>83</v>
      </c>
      <c r="I1" s="22" t="s">
        <v>469</v>
      </c>
    </row>
    <row r="2" spans="1:9" ht="25.5" x14ac:dyDescent="0.25">
      <c r="A2" s="268" t="s">
        <v>84</v>
      </c>
      <c r="B2" s="269"/>
      <c r="C2" s="269"/>
      <c r="D2" s="269"/>
      <c r="E2" s="269"/>
      <c r="F2" s="269"/>
      <c r="G2" s="270"/>
      <c r="H2" s="52" t="s">
        <v>37</v>
      </c>
      <c r="I2" s="52"/>
    </row>
    <row r="3" spans="1:9" ht="31.5" customHeight="1" x14ac:dyDescent="0.25">
      <c r="A3" s="271" t="s">
        <v>85</v>
      </c>
      <c r="B3" s="272"/>
      <c r="C3" s="71"/>
      <c r="D3" s="71"/>
      <c r="E3" s="271" t="s">
        <v>183</v>
      </c>
      <c r="F3" s="272"/>
      <c r="G3" s="271" t="s">
        <v>182</v>
      </c>
      <c r="H3" s="272"/>
      <c r="I3" s="52"/>
    </row>
    <row r="4" spans="1:9" ht="33.75" x14ac:dyDescent="0.25">
      <c r="A4" s="53" t="s">
        <v>133</v>
      </c>
      <c r="B4" s="54" t="s">
        <v>86</v>
      </c>
      <c r="C4" s="54" t="s">
        <v>367</v>
      </c>
      <c r="D4" s="54" t="s">
        <v>368</v>
      </c>
      <c r="E4" s="54" t="s">
        <v>129</v>
      </c>
      <c r="F4" s="54" t="s">
        <v>131</v>
      </c>
      <c r="G4" s="54" t="s">
        <v>130</v>
      </c>
      <c r="H4" s="55" t="s">
        <v>87</v>
      </c>
      <c r="I4" s="54" t="s">
        <v>132</v>
      </c>
    </row>
    <row r="5" spans="1:9" s="105" customFormat="1" ht="30" customHeight="1" x14ac:dyDescent="0.25">
      <c r="A5" s="103">
        <v>1</v>
      </c>
      <c r="B5" s="93" t="s">
        <v>9</v>
      </c>
      <c r="C5" s="93" t="str">
        <f>VLOOKUP(B5,Szarvasnévsor!A:C,2,FALSE)</f>
        <v>X2000020</v>
      </c>
      <c r="D5" s="93" t="str">
        <f>VLOOKUP(B5,Szarvasnévsor!A:C,3,FALSE)</f>
        <v>U0000030331</v>
      </c>
      <c r="E5" s="92">
        <v>380</v>
      </c>
      <c r="F5" s="93">
        <f>VLOOKUP(B5,Szarvas!$A$123:$AG$245,33,FALSE)</f>
        <v>3</v>
      </c>
      <c r="G5" s="94">
        <v>460</v>
      </c>
      <c r="H5" s="104">
        <f>VLOOKUP(B5,Szarvas!$A$3:$AG$120,33,FALSE)</f>
        <v>0</v>
      </c>
      <c r="I5" s="94">
        <f>(E5*F5)+(G5*H5)</f>
        <v>1140</v>
      </c>
    </row>
    <row r="6" spans="1:9" s="105" customFormat="1" ht="30" customHeight="1" x14ac:dyDescent="0.25">
      <c r="A6" s="103">
        <v>2</v>
      </c>
      <c r="B6" s="93" t="s">
        <v>6</v>
      </c>
      <c r="C6" s="93" t="str">
        <f>VLOOKUP(B6,Szarvasnévsor!A:C,2,FALSE)</f>
        <v>X2000020</v>
      </c>
      <c r="D6" s="93" t="str">
        <f>VLOOKUP(B6,Szarvasnévsor!A:C,3,FALSE)</f>
        <v>U0000030331</v>
      </c>
      <c r="E6" s="92">
        <v>380</v>
      </c>
      <c r="F6" s="93">
        <f>VLOOKUP(B6,Szarvas!$A$123:$AG$245,33,FALSE)</f>
        <v>3</v>
      </c>
      <c r="G6" s="94">
        <v>460</v>
      </c>
      <c r="H6" s="104">
        <f>VLOOKUP(B6,Szarvas!$A$3:$AG$120,33,FALSE)</f>
        <v>0</v>
      </c>
      <c r="I6" s="94">
        <f t="shared" ref="I6:I67" si="0">(E6*F6)+(G6*H6)</f>
        <v>1140</v>
      </c>
    </row>
    <row r="7" spans="1:9" s="105" customFormat="1" ht="30" customHeight="1" x14ac:dyDescent="0.25">
      <c r="A7" s="103">
        <v>3</v>
      </c>
      <c r="B7" s="93" t="s">
        <v>0</v>
      </c>
      <c r="C7" s="93" t="str">
        <f>VLOOKUP(B7,Szarvasnévsor!A:C,2,FALSE)</f>
        <v>X2000020</v>
      </c>
      <c r="D7" s="93" t="str">
        <f>VLOOKUP(B7,Szarvasnévsor!A:C,3,FALSE)</f>
        <v>U0000030331</v>
      </c>
      <c r="E7" s="92">
        <v>380</v>
      </c>
      <c r="F7" s="93">
        <f>VLOOKUP(B7,Szarvas!$A$123:$AG$245,33,FALSE)</f>
        <v>3</v>
      </c>
      <c r="G7" s="94">
        <v>460</v>
      </c>
      <c r="H7" s="104">
        <f>VLOOKUP(B7,Szarvas!$A$3:$AG$120,33,FALSE)</f>
        <v>0</v>
      </c>
      <c r="I7" s="94">
        <f t="shared" si="0"/>
        <v>1140</v>
      </c>
    </row>
    <row r="8" spans="1:9" s="105" customFormat="1" ht="30" customHeight="1" x14ac:dyDescent="0.25">
      <c r="A8" s="103">
        <v>4</v>
      </c>
      <c r="B8" s="93" t="s">
        <v>1</v>
      </c>
      <c r="C8" s="93" t="str">
        <f>VLOOKUP(B8,Szarvasnévsor!A:C,2,FALSE)</f>
        <v>X2000020</v>
      </c>
      <c r="D8" s="93" t="str">
        <f>VLOOKUP(B8,Szarvasnévsor!A:C,3,FALSE)</f>
        <v>U0000030331</v>
      </c>
      <c r="E8" s="92">
        <v>380</v>
      </c>
      <c r="F8" s="93">
        <f>VLOOKUP(B8,Szarvas!$A$123:$AG$245,33,FALSE)</f>
        <v>3</v>
      </c>
      <c r="G8" s="94">
        <v>460</v>
      </c>
      <c r="H8" s="104">
        <f>VLOOKUP(B8,Szarvas!$A$3:$AG$120,33,FALSE)</f>
        <v>0</v>
      </c>
      <c r="I8" s="94">
        <f t="shared" si="0"/>
        <v>1140</v>
      </c>
    </row>
    <row r="9" spans="1:9" s="105" customFormat="1" ht="30" customHeight="1" x14ac:dyDescent="0.25">
      <c r="A9" s="103">
        <v>5</v>
      </c>
      <c r="B9" s="93" t="s">
        <v>3</v>
      </c>
      <c r="C9" s="93" t="str">
        <f>VLOOKUP(B9,Szarvasnévsor!A:C,2,FALSE)</f>
        <v>X2000020</v>
      </c>
      <c r="D9" s="93" t="str">
        <f>VLOOKUP(B9,Szarvasnévsor!A:C,3,FALSE)</f>
        <v>U0000030331</v>
      </c>
      <c r="E9" s="92">
        <v>380</v>
      </c>
      <c r="F9" s="93">
        <f>VLOOKUP(B9,Szarvas!$A$123:$AG$245,33,FALSE)</f>
        <v>2</v>
      </c>
      <c r="G9" s="94">
        <v>460</v>
      </c>
      <c r="H9" s="104">
        <f>VLOOKUP(B9,Szarvas!$A$3:$AG$120,33,FALSE)</f>
        <v>0</v>
      </c>
      <c r="I9" s="94">
        <f t="shared" si="0"/>
        <v>760</v>
      </c>
    </row>
    <row r="10" spans="1:9" s="105" customFormat="1" ht="30" customHeight="1" x14ac:dyDescent="0.25">
      <c r="A10" s="103">
        <v>6</v>
      </c>
      <c r="B10" s="93" t="s">
        <v>8</v>
      </c>
      <c r="C10" s="93" t="str">
        <f>VLOOKUP(B10,Szarvasnévsor!A:C,2,FALSE)</f>
        <v>X2000020</v>
      </c>
      <c r="D10" s="93" t="str">
        <f>VLOOKUP(B10,Szarvasnévsor!A:C,3,FALSE)</f>
        <v>U0000030331</v>
      </c>
      <c r="E10" s="92">
        <v>380</v>
      </c>
      <c r="F10" s="93">
        <f>VLOOKUP(B10,Szarvas!$A$123:$AG$245,33,FALSE)</f>
        <v>5</v>
      </c>
      <c r="G10" s="94">
        <v>460</v>
      </c>
      <c r="H10" s="104">
        <f>VLOOKUP(B10,Szarvas!$A$3:$AG$120,33,FALSE)</f>
        <v>0</v>
      </c>
      <c r="I10" s="94">
        <f t="shared" si="0"/>
        <v>1900</v>
      </c>
    </row>
    <row r="11" spans="1:9" s="105" customFormat="1" ht="30" customHeight="1" x14ac:dyDescent="0.25">
      <c r="A11" s="103">
        <v>7</v>
      </c>
      <c r="B11" s="93" t="s">
        <v>4</v>
      </c>
      <c r="C11" s="93" t="str">
        <f>VLOOKUP(B11,Szarvasnévsor!A:C,2,FALSE)</f>
        <v>X2000020</v>
      </c>
      <c r="D11" s="93" t="str">
        <f>VLOOKUP(B11,Szarvasnévsor!A:C,3,FALSE)</f>
        <v>U0000030331</v>
      </c>
      <c r="E11" s="92">
        <v>380</v>
      </c>
      <c r="F11" s="93">
        <f>VLOOKUP(B11,Szarvas!$A$123:$AG$245,33,FALSE)</f>
        <v>4</v>
      </c>
      <c r="G11" s="94">
        <v>460</v>
      </c>
      <c r="H11" s="104">
        <f>VLOOKUP(B11,Szarvas!$A$3:$AG$120,33,FALSE)</f>
        <v>0</v>
      </c>
      <c r="I11" s="94">
        <f t="shared" si="0"/>
        <v>1520</v>
      </c>
    </row>
    <row r="12" spans="1:9" s="105" customFormat="1" ht="30" customHeight="1" x14ac:dyDescent="0.25">
      <c r="A12" s="103">
        <v>8</v>
      </c>
      <c r="B12" s="93" t="s">
        <v>7</v>
      </c>
      <c r="C12" s="93" t="str">
        <f>VLOOKUP(B12,Szarvasnévsor!A:C,2,FALSE)</f>
        <v>X2000020</v>
      </c>
      <c r="D12" s="93" t="str">
        <f>VLOOKUP(B12,Szarvasnévsor!A:C,3,FALSE)</f>
        <v>U0000030331</v>
      </c>
      <c r="E12" s="92">
        <v>380</v>
      </c>
      <c r="F12" s="93">
        <f>VLOOKUP(B12,Szarvas!$A$123:$AG$245,33,FALSE)</f>
        <v>0</v>
      </c>
      <c r="G12" s="94">
        <v>460</v>
      </c>
      <c r="H12" s="104">
        <f>VLOOKUP(B12,Szarvas!$A$3:$AG$120,33,FALSE)</f>
        <v>0</v>
      </c>
      <c r="I12" s="94">
        <f t="shared" si="0"/>
        <v>0</v>
      </c>
    </row>
    <row r="13" spans="1:9" s="105" customFormat="1" ht="30" customHeight="1" x14ac:dyDescent="0.25">
      <c r="A13" s="103">
        <v>9</v>
      </c>
      <c r="B13" s="93" t="s">
        <v>5</v>
      </c>
      <c r="C13" s="93" t="str">
        <f>VLOOKUP(B13,Szarvasnévsor!A:C,2,FALSE)</f>
        <v>X2000020</v>
      </c>
      <c r="D13" s="93" t="str">
        <f>VLOOKUP(B13,Szarvasnévsor!A:C,3,FALSE)</f>
        <v>U0000030331</v>
      </c>
      <c r="E13" s="92">
        <v>380</v>
      </c>
      <c r="F13" s="93">
        <f>VLOOKUP(B13,Szarvas!$A$123:$AG$245,33,FALSE)</f>
        <v>4</v>
      </c>
      <c r="G13" s="94">
        <v>460</v>
      </c>
      <c r="H13" s="104">
        <f>VLOOKUP(B13,Szarvas!$A$3:$AG$120,33,FALSE)</f>
        <v>0</v>
      </c>
      <c r="I13" s="94">
        <f t="shared" si="0"/>
        <v>1520</v>
      </c>
    </row>
    <row r="14" spans="1:9" s="105" customFormat="1" ht="30" customHeight="1" x14ac:dyDescent="0.25">
      <c r="A14" s="103">
        <v>10</v>
      </c>
      <c r="B14" s="93" t="s">
        <v>434</v>
      </c>
      <c r="C14" s="93" t="str">
        <f>VLOOKUP(B14,Szarvasnévsor!A:C,2,FALSE)</f>
        <v>X2000020</v>
      </c>
      <c r="D14" s="93" t="str">
        <f>VLOOKUP(B14,Szarvasnévsor!A:C,3,FALSE)</f>
        <v>U0000030331</v>
      </c>
      <c r="E14" s="92">
        <v>380</v>
      </c>
      <c r="F14" s="93">
        <f>VLOOKUP(B14,Szarvas!$A$123:$AG$245,33,FALSE)</f>
        <v>0</v>
      </c>
      <c r="G14" s="94">
        <v>460</v>
      </c>
      <c r="H14" s="104">
        <f>VLOOKUP(B14,Szarvas!$A$3:$AG$120,33,FALSE)</f>
        <v>0</v>
      </c>
      <c r="I14" s="94">
        <f t="shared" si="0"/>
        <v>0</v>
      </c>
    </row>
    <row r="15" spans="1:9" s="105" customFormat="1" ht="30" customHeight="1" x14ac:dyDescent="0.25">
      <c r="A15" s="103">
        <v>11</v>
      </c>
      <c r="B15" s="93" t="s">
        <v>12</v>
      </c>
      <c r="C15" s="93" t="str">
        <f>VLOOKUP(B15,Szarvasnévsor!A:C,2,FALSE)</f>
        <v>X2000020</v>
      </c>
      <c r="D15" s="93" t="str">
        <f>VLOOKUP(B15,Szarvasnévsor!A:C,3,FALSE)</f>
        <v>U0000030331</v>
      </c>
      <c r="E15" s="92">
        <v>380</v>
      </c>
      <c r="F15" s="93">
        <f>VLOOKUP(B15,Szarvas!$A$123:$AG$245,33,FALSE)</f>
        <v>2</v>
      </c>
      <c r="G15" s="94">
        <v>460</v>
      </c>
      <c r="H15" s="104">
        <f>VLOOKUP(B15,Szarvas!$A$3:$AG$120,33,FALSE)</f>
        <v>0</v>
      </c>
      <c r="I15" s="94">
        <f t="shared" si="0"/>
        <v>760</v>
      </c>
    </row>
    <row r="16" spans="1:9" s="105" customFormat="1" ht="30" customHeight="1" x14ac:dyDescent="0.25">
      <c r="A16" s="103">
        <v>12</v>
      </c>
      <c r="B16" s="93" t="s">
        <v>13</v>
      </c>
      <c r="C16" s="93" t="str">
        <f>VLOOKUP(B16,Szarvasnévsor!A:C,2,FALSE)</f>
        <v>X2000020</v>
      </c>
      <c r="D16" s="93" t="str">
        <f>VLOOKUP(B16,Szarvasnévsor!A:C,3,FALSE)</f>
        <v>U0000030331</v>
      </c>
      <c r="E16" s="92">
        <v>380</v>
      </c>
      <c r="F16" s="93">
        <f>VLOOKUP(B16,Szarvas!$A$123:$AG$245,33,FALSE)</f>
        <v>3</v>
      </c>
      <c r="G16" s="94">
        <v>460</v>
      </c>
      <c r="H16" s="104">
        <f>VLOOKUP(B16,Szarvas!$A$3:$AG$120,33,FALSE)</f>
        <v>0</v>
      </c>
      <c r="I16" s="94">
        <f t="shared" si="0"/>
        <v>1140</v>
      </c>
    </row>
    <row r="17" spans="1:9" s="105" customFormat="1" ht="30" customHeight="1" x14ac:dyDescent="0.25">
      <c r="A17" s="103">
        <v>13</v>
      </c>
      <c r="B17" s="93" t="s">
        <v>14</v>
      </c>
      <c r="C17" s="93" t="str">
        <f>VLOOKUP(B17,Szarvasnévsor!A:C,2,FALSE)</f>
        <v>X2000020</v>
      </c>
      <c r="D17" s="93" t="str">
        <f>VLOOKUP(B17,Szarvasnévsor!A:C,3,FALSE)</f>
        <v>U0000030331</v>
      </c>
      <c r="E17" s="92">
        <v>380</v>
      </c>
      <c r="F17" s="93">
        <f>VLOOKUP(B17,Szarvas!$A$123:$AG$245,33,FALSE)</f>
        <v>2</v>
      </c>
      <c r="G17" s="94">
        <v>460</v>
      </c>
      <c r="H17" s="104">
        <f>VLOOKUP(B17,Szarvas!$A$3:$AG$120,33,FALSE)</f>
        <v>0</v>
      </c>
      <c r="I17" s="94">
        <f t="shared" si="0"/>
        <v>760</v>
      </c>
    </row>
    <row r="18" spans="1:9" s="105" customFormat="1" ht="30" customHeight="1" x14ac:dyDescent="0.25">
      <c r="A18" s="103">
        <v>14</v>
      </c>
      <c r="B18" s="93" t="s">
        <v>15</v>
      </c>
      <c r="C18" s="93" t="str">
        <f>VLOOKUP(B18,Szarvasnévsor!A:C,2,FALSE)</f>
        <v>X2000020</v>
      </c>
      <c r="D18" s="93" t="str">
        <f>VLOOKUP(B18,Szarvasnévsor!A:C,3,FALSE)</f>
        <v>U0000030331</v>
      </c>
      <c r="E18" s="92">
        <v>380</v>
      </c>
      <c r="F18" s="93">
        <f>VLOOKUP(B18,Szarvas!$A$123:$AG$245,33,FALSE)</f>
        <v>10</v>
      </c>
      <c r="G18" s="94">
        <v>460</v>
      </c>
      <c r="H18" s="104">
        <f>VLOOKUP(B18,Szarvas!$A$3:$AG$120,33,FALSE)</f>
        <v>0</v>
      </c>
      <c r="I18" s="94">
        <f t="shared" si="0"/>
        <v>3800</v>
      </c>
    </row>
    <row r="19" spans="1:9" s="105" customFormat="1" ht="30" customHeight="1" x14ac:dyDescent="0.25">
      <c r="A19" s="103">
        <v>15</v>
      </c>
      <c r="B19" s="93" t="s">
        <v>16</v>
      </c>
      <c r="C19" s="93" t="str">
        <f>VLOOKUP(B19,Szarvasnévsor!A:C,2,FALSE)</f>
        <v>X2000020</v>
      </c>
      <c r="D19" s="93" t="str">
        <f>VLOOKUP(B19,Szarvasnévsor!A:C,3,FALSE)</f>
        <v>U0000030331</v>
      </c>
      <c r="E19" s="92">
        <v>380</v>
      </c>
      <c r="F19" s="93">
        <f>VLOOKUP(B19,Szarvas!$A$123:$AG$245,33,FALSE)</f>
        <v>0</v>
      </c>
      <c r="G19" s="94">
        <v>460</v>
      </c>
      <c r="H19" s="104">
        <f>VLOOKUP(B19,Szarvas!$A$3:$AG$120,33,FALSE)</f>
        <v>0</v>
      </c>
      <c r="I19" s="94">
        <f t="shared" si="0"/>
        <v>0</v>
      </c>
    </row>
    <row r="20" spans="1:9" s="105" customFormat="1" ht="30" customHeight="1" x14ac:dyDescent="0.25">
      <c r="A20" s="103">
        <v>16</v>
      </c>
      <c r="B20" s="93" t="s">
        <v>17</v>
      </c>
      <c r="C20" s="93" t="str">
        <f>VLOOKUP(B20,Szarvasnévsor!A:C,2,FALSE)</f>
        <v>X2000020</v>
      </c>
      <c r="D20" s="93" t="str">
        <f>VLOOKUP(B20,Szarvasnévsor!A:C,3,FALSE)</f>
        <v>U0000030331</v>
      </c>
      <c r="E20" s="92">
        <v>380</v>
      </c>
      <c r="F20" s="93">
        <f>VLOOKUP(B20,Szarvas!$A$123:$AG$245,33,FALSE)</f>
        <v>5</v>
      </c>
      <c r="G20" s="94">
        <v>460</v>
      </c>
      <c r="H20" s="104">
        <f>VLOOKUP(B20,Szarvas!$A$3:$AG$120,33,FALSE)</f>
        <v>0</v>
      </c>
      <c r="I20" s="94">
        <f t="shared" si="0"/>
        <v>1900</v>
      </c>
    </row>
    <row r="21" spans="1:9" s="105" customFormat="1" ht="30" customHeight="1" x14ac:dyDescent="0.25">
      <c r="A21" s="103">
        <v>17</v>
      </c>
      <c r="B21" s="93" t="s">
        <v>18</v>
      </c>
      <c r="C21" s="93" t="str">
        <f>VLOOKUP(B21,Szarvasnévsor!A:C,2,FALSE)</f>
        <v>X2000020</v>
      </c>
      <c r="D21" s="93" t="str">
        <f>VLOOKUP(B21,Szarvasnévsor!A:C,3,FALSE)</f>
        <v>U0000030331</v>
      </c>
      <c r="E21" s="92">
        <v>380</v>
      </c>
      <c r="F21" s="93">
        <f>VLOOKUP(B21,Szarvas!$A$123:$AG$245,33,FALSE)</f>
        <v>2</v>
      </c>
      <c r="G21" s="94">
        <v>460</v>
      </c>
      <c r="H21" s="104">
        <f>VLOOKUP(B21,Szarvas!$A$3:$AG$120,33,FALSE)</f>
        <v>0</v>
      </c>
      <c r="I21" s="94">
        <f t="shared" si="0"/>
        <v>760</v>
      </c>
    </row>
    <row r="22" spans="1:9" s="105" customFormat="1" ht="30" customHeight="1" x14ac:dyDescent="0.25">
      <c r="A22" s="103">
        <v>18</v>
      </c>
      <c r="B22" s="93" t="s">
        <v>19</v>
      </c>
      <c r="C22" s="93" t="str">
        <f>VLOOKUP(B22,Szarvasnévsor!A:C,2,FALSE)</f>
        <v>X2000020</v>
      </c>
      <c r="D22" s="93" t="str">
        <f>VLOOKUP(B22,Szarvasnévsor!A:C,3,FALSE)</f>
        <v>U0000030331</v>
      </c>
      <c r="E22" s="92">
        <v>380</v>
      </c>
      <c r="F22" s="93">
        <f>VLOOKUP(B22,Szarvas!$A$123:$AG$245,33,FALSE)</f>
        <v>0</v>
      </c>
      <c r="G22" s="94">
        <v>460</v>
      </c>
      <c r="H22" s="104">
        <f>VLOOKUP(B22,Szarvas!$A$3:$AG$120,33,FALSE)</f>
        <v>0</v>
      </c>
      <c r="I22" s="94">
        <f t="shared" si="0"/>
        <v>0</v>
      </c>
    </row>
    <row r="23" spans="1:9" s="105" customFormat="1" ht="30" customHeight="1" x14ac:dyDescent="0.25">
      <c r="A23" s="103">
        <v>19</v>
      </c>
      <c r="B23" s="93" t="s">
        <v>20</v>
      </c>
      <c r="C23" s="93" t="str">
        <f>VLOOKUP(B23,Szarvasnévsor!A:C,2,FALSE)</f>
        <v>X2000020</v>
      </c>
      <c r="D23" s="93" t="str">
        <f>VLOOKUP(B23,Szarvasnévsor!A:C,3,FALSE)</f>
        <v>U0000030331</v>
      </c>
      <c r="E23" s="92">
        <v>380</v>
      </c>
      <c r="F23" s="93">
        <f>VLOOKUP(B23,Szarvas!$A$123:$AG$245,33,FALSE)</f>
        <v>0</v>
      </c>
      <c r="G23" s="94">
        <v>460</v>
      </c>
      <c r="H23" s="104">
        <f>VLOOKUP(B23,Szarvas!$A$3:$AG$120,33,FALSE)</f>
        <v>0</v>
      </c>
      <c r="I23" s="94">
        <f t="shared" si="0"/>
        <v>0</v>
      </c>
    </row>
    <row r="24" spans="1:9" s="105" customFormat="1" ht="30" customHeight="1" x14ac:dyDescent="0.25">
      <c r="A24" s="103">
        <v>20</v>
      </c>
      <c r="B24" s="93" t="s">
        <v>21</v>
      </c>
      <c r="C24" s="93" t="str">
        <f>VLOOKUP(B24,Szarvasnévsor!A:C,2,FALSE)</f>
        <v>X2000020</v>
      </c>
      <c r="D24" s="93" t="str">
        <f>VLOOKUP(B24,Szarvasnévsor!A:C,3,FALSE)</f>
        <v>U0000030331</v>
      </c>
      <c r="E24" s="92">
        <v>380</v>
      </c>
      <c r="F24" s="93">
        <f>VLOOKUP(B24,Szarvas!$A$123:$AG$245,33,FALSE)</f>
        <v>2</v>
      </c>
      <c r="G24" s="94">
        <v>460</v>
      </c>
      <c r="H24" s="104">
        <f>VLOOKUP(B24,Szarvas!$A$3:$AG$120,33,FALSE)</f>
        <v>0</v>
      </c>
      <c r="I24" s="94">
        <f t="shared" si="0"/>
        <v>760</v>
      </c>
    </row>
    <row r="25" spans="1:9" s="105" customFormat="1" ht="30" customHeight="1" x14ac:dyDescent="0.25">
      <c r="A25" s="103">
        <v>21</v>
      </c>
      <c r="B25" s="93" t="s">
        <v>22</v>
      </c>
      <c r="C25" s="93" t="str">
        <f>VLOOKUP(B25,Szarvasnévsor!A:C,2,FALSE)</f>
        <v>X2000020</v>
      </c>
      <c r="D25" s="93" t="str">
        <f>VLOOKUP(B25,Szarvasnévsor!A:C,3,FALSE)</f>
        <v>U0000030331</v>
      </c>
      <c r="E25" s="92">
        <v>380</v>
      </c>
      <c r="F25" s="93">
        <f>VLOOKUP(B25,Szarvas!$A$123:$AG$245,33,FALSE)</f>
        <v>2</v>
      </c>
      <c r="G25" s="94">
        <v>460</v>
      </c>
      <c r="H25" s="104">
        <f>VLOOKUP(B25,Szarvas!$A$3:$AG$120,33,FALSE)</f>
        <v>0</v>
      </c>
      <c r="I25" s="94">
        <f t="shared" si="0"/>
        <v>760</v>
      </c>
    </row>
    <row r="26" spans="1:9" s="105" customFormat="1" ht="30" customHeight="1" x14ac:dyDescent="0.25">
      <c r="A26" s="103">
        <v>22</v>
      </c>
      <c r="B26" s="93" t="s">
        <v>25</v>
      </c>
      <c r="C26" s="93" t="str">
        <f>VLOOKUP(B26,Szarvasnévsor!A:C,2,FALSE)</f>
        <v>X2000020</v>
      </c>
      <c r="D26" s="93" t="str">
        <f>VLOOKUP(B26,Szarvasnévsor!A:C,3,FALSE)</f>
        <v>U0000030331</v>
      </c>
      <c r="E26" s="92">
        <v>380</v>
      </c>
      <c r="F26" s="93">
        <f>VLOOKUP(B26,Szarvas!$A$123:$AG$245,33,FALSE)</f>
        <v>6</v>
      </c>
      <c r="G26" s="94">
        <v>460</v>
      </c>
      <c r="H26" s="104">
        <f>VLOOKUP(B26,Szarvas!$A$3:$AG$120,33,FALSE)</f>
        <v>0</v>
      </c>
      <c r="I26" s="94">
        <f t="shared" si="0"/>
        <v>2280</v>
      </c>
    </row>
    <row r="27" spans="1:9" s="105" customFormat="1" ht="30" customHeight="1" x14ac:dyDescent="0.25">
      <c r="A27" s="103">
        <v>23</v>
      </c>
      <c r="B27" s="93" t="s">
        <v>33</v>
      </c>
      <c r="C27" s="93" t="str">
        <f>VLOOKUP(B27,Szarvasnévsor!A:C,2,FALSE)</f>
        <v>X2000020</v>
      </c>
      <c r="D27" s="93" t="str">
        <f>VLOOKUP(B27,Szarvasnévsor!A:C,3,FALSE)</f>
        <v>U0000030331</v>
      </c>
      <c r="E27" s="92">
        <v>380</v>
      </c>
      <c r="F27" s="93">
        <f>VLOOKUP(B27,Szarvas!$A$123:$AG$245,33,FALSE)</f>
        <v>0</v>
      </c>
      <c r="G27" s="94">
        <v>460</v>
      </c>
      <c r="H27" s="104">
        <f>VLOOKUP(B27,Szarvas!$A$3:$AG$120,33,FALSE)</f>
        <v>0</v>
      </c>
      <c r="I27" s="94">
        <f t="shared" si="0"/>
        <v>0</v>
      </c>
    </row>
    <row r="28" spans="1:9" s="105" customFormat="1" ht="30" customHeight="1" x14ac:dyDescent="0.25">
      <c r="A28" s="103">
        <v>24</v>
      </c>
      <c r="B28" s="93" t="s">
        <v>35</v>
      </c>
      <c r="C28" s="93" t="str">
        <f>VLOOKUP(B28,Szarvasnévsor!A:C,2,FALSE)</f>
        <v>X2000020</v>
      </c>
      <c r="D28" s="93" t="str">
        <f>VLOOKUP(B28,Szarvasnévsor!A:C,3,FALSE)</f>
        <v>U0000030331</v>
      </c>
      <c r="E28" s="92">
        <v>380</v>
      </c>
      <c r="F28" s="93">
        <f>VLOOKUP(B28,Szarvas!$A$123:$AG$245,33,FALSE)</f>
        <v>1</v>
      </c>
      <c r="G28" s="94">
        <v>460</v>
      </c>
      <c r="H28" s="104">
        <f>VLOOKUP(B28,Szarvas!$A$3:$AG$120,33,FALSE)</f>
        <v>0</v>
      </c>
      <c r="I28" s="94">
        <f t="shared" si="0"/>
        <v>380</v>
      </c>
    </row>
    <row r="29" spans="1:9" s="105" customFormat="1" ht="30" customHeight="1" x14ac:dyDescent="0.25">
      <c r="A29" s="103">
        <v>25</v>
      </c>
      <c r="B29" s="93" t="s">
        <v>23</v>
      </c>
      <c r="C29" s="93" t="str">
        <f>VLOOKUP(B29,Szarvasnévsor!A:C,2,FALSE)</f>
        <v>X2000020</v>
      </c>
      <c r="D29" s="93" t="str">
        <f>VLOOKUP(B29,Szarvasnévsor!A:C,3,FALSE)</f>
        <v>U0000030331</v>
      </c>
      <c r="E29" s="92">
        <v>380</v>
      </c>
      <c r="F29" s="93">
        <f>VLOOKUP(B29,Szarvas!$A$123:$AG$245,33,FALSE)</f>
        <v>3</v>
      </c>
      <c r="G29" s="94">
        <v>460</v>
      </c>
      <c r="H29" s="104">
        <f>VLOOKUP(B29,Szarvas!$A$3:$AG$120,33,FALSE)</f>
        <v>0</v>
      </c>
      <c r="I29" s="94">
        <f t="shared" si="0"/>
        <v>1140</v>
      </c>
    </row>
    <row r="30" spans="1:9" s="105" customFormat="1" ht="30" customHeight="1" x14ac:dyDescent="0.25">
      <c r="A30" s="103">
        <v>26</v>
      </c>
      <c r="B30" s="93" t="s">
        <v>30</v>
      </c>
      <c r="C30" s="93" t="str">
        <f>VLOOKUP(B30,Szarvasnévsor!A:C,2,FALSE)</f>
        <v>X2000020</v>
      </c>
      <c r="D30" s="93" t="str">
        <f>VLOOKUP(B30,Szarvasnévsor!A:C,3,FALSE)</f>
        <v>U0000030331</v>
      </c>
      <c r="E30" s="92">
        <v>380</v>
      </c>
      <c r="F30" s="93">
        <f>VLOOKUP(B30,Szarvas!$A$123:$AG$245,33,FALSE)</f>
        <v>4</v>
      </c>
      <c r="G30" s="94">
        <v>460</v>
      </c>
      <c r="H30" s="104">
        <f>VLOOKUP(B30,Szarvas!$A$3:$AG$120,33,FALSE)</f>
        <v>0</v>
      </c>
      <c r="I30" s="94">
        <f t="shared" si="0"/>
        <v>1520</v>
      </c>
    </row>
    <row r="31" spans="1:9" s="105" customFormat="1" ht="30" customHeight="1" x14ac:dyDescent="0.25">
      <c r="A31" s="103">
        <v>27</v>
      </c>
      <c r="B31" s="93" t="s">
        <v>34</v>
      </c>
      <c r="C31" s="93" t="str">
        <f>VLOOKUP(B31,Szarvasnévsor!A:C,2,FALSE)</f>
        <v>X2000020</v>
      </c>
      <c r="D31" s="93" t="str">
        <f>VLOOKUP(B31,Szarvasnévsor!A:C,3,FALSE)</f>
        <v>U0000030331</v>
      </c>
      <c r="E31" s="92">
        <v>380</v>
      </c>
      <c r="F31" s="93">
        <f>VLOOKUP(B31,Szarvas!$A$123:$AG$245,33,FALSE)</f>
        <v>0</v>
      </c>
      <c r="G31" s="94">
        <v>460</v>
      </c>
      <c r="H31" s="104">
        <f>VLOOKUP(B31,Szarvas!$A$3:$AG$120,33,FALSE)</f>
        <v>0</v>
      </c>
      <c r="I31" s="94">
        <f t="shared" si="0"/>
        <v>0</v>
      </c>
    </row>
    <row r="32" spans="1:9" s="105" customFormat="1" ht="30" customHeight="1" x14ac:dyDescent="0.25">
      <c r="A32" s="103">
        <v>28</v>
      </c>
      <c r="B32" s="93" t="s">
        <v>24</v>
      </c>
      <c r="C32" s="93" t="str">
        <f>VLOOKUP(B32,Szarvasnévsor!A:C,2,FALSE)</f>
        <v>X2000020</v>
      </c>
      <c r="D32" s="93" t="str">
        <f>VLOOKUP(B32,Szarvasnévsor!A:C,3,FALSE)</f>
        <v>U0000030331</v>
      </c>
      <c r="E32" s="92">
        <v>380</v>
      </c>
      <c r="F32" s="93">
        <f>VLOOKUP(B32,Szarvas!$A$123:$AG$245,33,FALSE)</f>
        <v>2</v>
      </c>
      <c r="G32" s="94">
        <v>460</v>
      </c>
      <c r="H32" s="104">
        <f>VLOOKUP(B32,Szarvas!$A$3:$AG$120,33,FALSE)</f>
        <v>0</v>
      </c>
      <c r="I32" s="94">
        <f t="shared" si="0"/>
        <v>760</v>
      </c>
    </row>
    <row r="33" spans="1:9" s="105" customFormat="1" ht="30" customHeight="1" x14ac:dyDescent="0.25">
      <c r="A33" s="103">
        <v>29</v>
      </c>
      <c r="B33" s="93" t="s">
        <v>460</v>
      </c>
      <c r="C33" s="93" t="str">
        <f>VLOOKUP(B33,Szarvasnévsor!A:C,2,FALSE)</f>
        <v>X2000020</v>
      </c>
      <c r="D33" s="93" t="str">
        <f>VLOOKUP(B33,Szarvasnévsor!A:C,3,FALSE)</f>
        <v>U0000030331</v>
      </c>
      <c r="E33" s="92">
        <v>380</v>
      </c>
      <c r="F33" s="93">
        <f>VLOOKUP(B33,Szarvas!$A$123:$AG$245,33,FALSE)</f>
        <v>3</v>
      </c>
      <c r="G33" s="94">
        <v>460</v>
      </c>
      <c r="H33" s="104">
        <f>VLOOKUP(B33,Szarvas!$A$3:$AG$120,33,FALSE)</f>
        <v>0</v>
      </c>
      <c r="I33" s="94">
        <f t="shared" si="0"/>
        <v>1140</v>
      </c>
    </row>
    <row r="34" spans="1:9" s="105" customFormat="1" ht="30" customHeight="1" x14ac:dyDescent="0.25">
      <c r="A34" s="103">
        <v>30</v>
      </c>
      <c r="B34" s="93" t="s">
        <v>32</v>
      </c>
      <c r="C34" s="93" t="str">
        <f>VLOOKUP(B34,Szarvasnévsor!A:C,2,FALSE)</f>
        <v>X2000020</v>
      </c>
      <c r="D34" s="93" t="str">
        <f>VLOOKUP(B34,Szarvasnévsor!A:C,3,FALSE)</f>
        <v>U0000030331</v>
      </c>
      <c r="E34" s="92">
        <v>380</v>
      </c>
      <c r="F34" s="93">
        <f>VLOOKUP(B34,Szarvas!$A$123:$AG$245,33,FALSE)</f>
        <v>0</v>
      </c>
      <c r="G34" s="94">
        <v>460</v>
      </c>
      <c r="H34" s="104">
        <f>VLOOKUP(B34,Szarvas!$A$3:$AG$120,33,FALSE)</f>
        <v>0</v>
      </c>
      <c r="I34" s="94">
        <f t="shared" si="0"/>
        <v>0</v>
      </c>
    </row>
    <row r="35" spans="1:9" s="105" customFormat="1" ht="30" customHeight="1" x14ac:dyDescent="0.25">
      <c r="A35" s="103">
        <v>31</v>
      </c>
      <c r="B35" s="93" t="s">
        <v>29</v>
      </c>
      <c r="C35" s="93" t="str">
        <f>VLOOKUP(B35,Szarvasnévsor!A:C,2,FALSE)</f>
        <v>X2000020</v>
      </c>
      <c r="D35" s="93" t="str">
        <f>VLOOKUP(B35,Szarvasnévsor!A:C,3,FALSE)</f>
        <v>U0000030331</v>
      </c>
      <c r="E35" s="92">
        <v>380</v>
      </c>
      <c r="F35" s="93">
        <f>VLOOKUP(B35,Szarvas!$A$123:$AG$245,33,FALSE)</f>
        <v>23</v>
      </c>
      <c r="G35" s="94">
        <v>460</v>
      </c>
      <c r="H35" s="104">
        <f>VLOOKUP(B35,Szarvas!$A$3:$AG$120,33,FALSE)</f>
        <v>0</v>
      </c>
      <c r="I35" s="94">
        <f t="shared" si="0"/>
        <v>8740</v>
      </c>
    </row>
    <row r="36" spans="1:9" s="105" customFormat="1" ht="30" customHeight="1" x14ac:dyDescent="0.25">
      <c r="A36" s="103">
        <v>32</v>
      </c>
      <c r="B36" s="93" t="s">
        <v>28</v>
      </c>
      <c r="C36" s="93" t="str">
        <f>VLOOKUP(B36,Szarvasnévsor!A:C,2,FALSE)</f>
        <v>X2000020</v>
      </c>
      <c r="D36" s="93" t="str">
        <f>VLOOKUP(B36,Szarvasnévsor!A:C,3,FALSE)</f>
        <v>U0000030331</v>
      </c>
      <c r="E36" s="92">
        <v>380</v>
      </c>
      <c r="F36" s="93">
        <f>VLOOKUP(B36,Szarvas!$A$123:$AG$245,33,FALSE)</f>
        <v>3</v>
      </c>
      <c r="G36" s="94">
        <v>460</v>
      </c>
      <c r="H36" s="104">
        <f>VLOOKUP(B36,Szarvas!$A$3:$AG$120,33,FALSE)</f>
        <v>3</v>
      </c>
      <c r="I36" s="94">
        <f t="shared" si="0"/>
        <v>2520</v>
      </c>
    </row>
    <row r="37" spans="1:9" s="105" customFormat="1" ht="30" customHeight="1" x14ac:dyDescent="0.25">
      <c r="A37" s="103">
        <v>33</v>
      </c>
      <c r="B37" s="93" t="s">
        <v>26</v>
      </c>
      <c r="C37" s="93" t="str">
        <f>VLOOKUP(B37,Szarvasnévsor!A:C,2,FALSE)</f>
        <v>X2000020</v>
      </c>
      <c r="D37" s="93" t="str">
        <f>VLOOKUP(B37,Szarvasnévsor!A:C,3,FALSE)</f>
        <v>U0000030331</v>
      </c>
      <c r="E37" s="92">
        <v>380</v>
      </c>
      <c r="F37" s="93">
        <f>VLOOKUP(B37,Szarvas!$A$123:$AG$245,33,FALSE)</f>
        <v>2</v>
      </c>
      <c r="G37" s="94">
        <v>460</v>
      </c>
      <c r="H37" s="104">
        <f>VLOOKUP(B37,Szarvas!$A$3:$AG$120,33,FALSE)</f>
        <v>0</v>
      </c>
      <c r="I37" s="94">
        <f t="shared" si="0"/>
        <v>760</v>
      </c>
    </row>
    <row r="38" spans="1:9" s="105" customFormat="1" ht="30" customHeight="1" x14ac:dyDescent="0.25">
      <c r="A38" s="103">
        <v>34</v>
      </c>
      <c r="B38" s="93" t="s">
        <v>27</v>
      </c>
      <c r="C38" s="93" t="str">
        <f>VLOOKUP(B38,Szarvasnévsor!A:C,2,FALSE)</f>
        <v>X2000020</v>
      </c>
      <c r="D38" s="93" t="str">
        <f>VLOOKUP(B38,Szarvasnévsor!A:C,3,FALSE)</f>
        <v>U0000030331</v>
      </c>
      <c r="E38" s="92">
        <v>380</v>
      </c>
      <c r="F38" s="93">
        <f>VLOOKUP(B38,Szarvas!$A$123:$AG$245,33,FALSE)</f>
        <v>1</v>
      </c>
      <c r="G38" s="94">
        <v>460</v>
      </c>
      <c r="H38" s="104">
        <f>VLOOKUP(B38,Szarvas!$A$3:$AG$120,33,FALSE)</f>
        <v>0</v>
      </c>
      <c r="I38" s="94">
        <f t="shared" si="0"/>
        <v>380</v>
      </c>
    </row>
    <row r="39" spans="1:9" s="105" customFormat="1" ht="30" customHeight="1" x14ac:dyDescent="0.25">
      <c r="A39" s="103">
        <v>35</v>
      </c>
      <c r="B39" s="93" t="s">
        <v>31</v>
      </c>
      <c r="C39" s="93" t="str">
        <f>VLOOKUP(B39,Szarvasnévsor!A:C,2,FALSE)</f>
        <v>X2000020</v>
      </c>
      <c r="D39" s="93" t="str">
        <f>VLOOKUP(B39,Szarvasnévsor!A:C,3,FALSE)</f>
        <v>U0000030331</v>
      </c>
      <c r="E39" s="92">
        <v>380</v>
      </c>
      <c r="F39" s="93">
        <f>VLOOKUP(B39,Szarvas!$A$123:$AG$245,33,FALSE)</f>
        <v>0</v>
      </c>
      <c r="G39" s="94">
        <v>460</v>
      </c>
      <c r="H39" s="104">
        <f>VLOOKUP(B39,Szarvas!$A$3:$AG$120,33,FALSE)</f>
        <v>0</v>
      </c>
      <c r="I39" s="94">
        <f t="shared" si="0"/>
        <v>0</v>
      </c>
    </row>
    <row r="40" spans="1:9" s="105" customFormat="1" ht="30" customHeight="1" x14ac:dyDescent="0.25">
      <c r="A40" s="103">
        <v>36</v>
      </c>
      <c r="B40" s="93" t="s">
        <v>47</v>
      </c>
      <c r="C40" s="93" t="str">
        <f>VLOOKUP(B40,Szarvasnévsor!A:C,2,FALSE)</f>
        <v>X2000029</v>
      </c>
      <c r="D40" s="93" t="str">
        <f>VLOOKUP(B40,Szarvasnévsor!A:C,3,FALSE)</f>
        <v>U0000030332</v>
      </c>
      <c r="E40" s="92">
        <v>380</v>
      </c>
      <c r="F40" s="93">
        <f>VLOOKUP(B40,Szarvas!$A$123:$AG$245,33,FALSE)</f>
        <v>3</v>
      </c>
      <c r="G40" s="94">
        <v>460</v>
      </c>
      <c r="H40" s="104">
        <f>VLOOKUP(B40,Szarvas!$A$3:$AG$120,33,FALSE)</f>
        <v>0</v>
      </c>
      <c r="I40" s="94">
        <f t="shared" si="0"/>
        <v>1140</v>
      </c>
    </row>
    <row r="41" spans="1:9" s="105" customFormat="1" ht="30" customHeight="1" x14ac:dyDescent="0.25">
      <c r="A41" s="103">
        <v>37</v>
      </c>
      <c r="B41" s="93" t="s">
        <v>46</v>
      </c>
      <c r="C41" s="93" t="str">
        <f>VLOOKUP(B41,Szarvasnévsor!A:C,2,FALSE)</f>
        <v>X2000029</v>
      </c>
      <c r="D41" s="93" t="str">
        <f>VLOOKUP(B41,Szarvasnévsor!A:C,3,FALSE)</f>
        <v>U0000030332</v>
      </c>
      <c r="E41" s="92">
        <v>380</v>
      </c>
      <c r="F41" s="93">
        <f>VLOOKUP(B41,Szarvas!$A$123:$AG$245,33,FALSE)</f>
        <v>5</v>
      </c>
      <c r="G41" s="94">
        <v>460</v>
      </c>
      <c r="H41" s="104">
        <f>VLOOKUP(B41,Szarvas!$A$3:$AG$120,33,FALSE)</f>
        <v>0</v>
      </c>
      <c r="I41" s="94">
        <f t="shared" si="0"/>
        <v>1900</v>
      </c>
    </row>
    <row r="42" spans="1:9" s="105" customFormat="1" ht="30" customHeight="1" x14ac:dyDescent="0.25">
      <c r="A42" s="103">
        <v>38</v>
      </c>
      <c r="B42" s="93" t="s">
        <v>48</v>
      </c>
      <c r="C42" s="93" t="str">
        <f>VLOOKUP(B42,Szarvasnévsor!A:C,2,FALSE)</f>
        <v>X2000029</v>
      </c>
      <c r="D42" s="93" t="str">
        <f>VLOOKUP(B42,Szarvasnévsor!A:C,3,FALSE)</f>
        <v>U0000030332</v>
      </c>
      <c r="E42" s="92">
        <v>380</v>
      </c>
      <c r="F42" s="93">
        <f>VLOOKUP(B42,Szarvas!$A$123:$AG$245,33,FALSE)</f>
        <v>3</v>
      </c>
      <c r="G42" s="94">
        <v>460</v>
      </c>
      <c r="H42" s="104">
        <f>VLOOKUP(B42,Szarvas!$A$3:$AG$120,33,FALSE)</f>
        <v>0</v>
      </c>
      <c r="I42" s="94">
        <f t="shared" si="0"/>
        <v>1140</v>
      </c>
    </row>
    <row r="43" spans="1:9" s="105" customFormat="1" ht="30" customHeight="1" x14ac:dyDescent="0.25">
      <c r="A43" s="103">
        <v>39</v>
      </c>
      <c r="B43" s="93" t="s">
        <v>49</v>
      </c>
      <c r="C43" s="93" t="str">
        <f>VLOOKUP(B43,Szarvasnévsor!A:C,2,FALSE)</f>
        <v>X2000029</v>
      </c>
      <c r="D43" s="93" t="str">
        <f>VLOOKUP(B43,Szarvasnévsor!A:C,3,FALSE)</f>
        <v>U0000030332</v>
      </c>
      <c r="E43" s="92">
        <v>380</v>
      </c>
      <c r="F43" s="93">
        <f>VLOOKUP(B43,Szarvas!$A$123:$AG$245,33,FALSE)</f>
        <v>3</v>
      </c>
      <c r="G43" s="94">
        <v>460</v>
      </c>
      <c r="H43" s="104">
        <f>VLOOKUP(B43,Szarvas!$A$3:$AG$120,33,FALSE)</f>
        <v>0</v>
      </c>
      <c r="I43" s="94">
        <f t="shared" si="0"/>
        <v>1140</v>
      </c>
    </row>
    <row r="44" spans="1:9" s="105" customFormat="1" ht="30" customHeight="1" x14ac:dyDescent="0.25">
      <c r="A44" s="103">
        <v>40</v>
      </c>
      <c r="B44" s="93" t="s">
        <v>50</v>
      </c>
      <c r="C44" s="93" t="str">
        <f>VLOOKUP(B44,Szarvasnévsor!A:C,2,FALSE)</f>
        <v>X2000029</v>
      </c>
      <c r="D44" s="93" t="str">
        <f>VLOOKUP(B44,Szarvasnévsor!A:C,3,FALSE)</f>
        <v>U0000030332</v>
      </c>
      <c r="E44" s="92">
        <v>380</v>
      </c>
      <c r="F44" s="93">
        <f>VLOOKUP(B44,Szarvas!$A$123:$AG$245,33,FALSE)</f>
        <v>15</v>
      </c>
      <c r="G44" s="94">
        <v>460</v>
      </c>
      <c r="H44" s="104">
        <f>VLOOKUP(B44,Szarvas!$A$3:$AG$120,33,FALSE)</f>
        <v>0</v>
      </c>
      <c r="I44" s="94">
        <f t="shared" si="0"/>
        <v>5700</v>
      </c>
    </row>
    <row r="45" spans="1:9" s="105" customFormat="1" ht="30" customHeight="1" x14ac:dyDescent="0.25">
      <c r="A45" s="103">
        <v>41</v>
      </c>
      <c r="B45" s="93" t="s">
        <v>51</v>
      </c>
      <c r="C45" s="93" t="str">
        <f>VLOOKUP(B45,Szarvasnévsor!A:C,2,FALSE)</f>
        <v>X2000029</v>
      </c>
      <c r="D45" s="93" t="str">
        <f>VLOOKUP(B45,Szarvasnévsor!A:C,3,FALSE)</f>
        <v>U0000030332</v>
      </c>
      <c r="E45" s="92">
        <v>380</v>
      </c>
      <c r="F45" s="93">
        <f>VLOOKUP(B45,Szarvas!$A$123:$AG$245,33,FALSE)</f>
        <v>15</v>
      </c>
      <c r="G45" s="94">
        <v>460</v>
      </c>
      <c r="H45" s="104">
        <f>VLOOKUP(B45,Szarvas!$A$3:$AG$120,33,FALSE)</f>
        <v>0</v>
      </c>
      <c r="I45" s="94">
        <f t="shared" si="0"/>
        <v>5700</v>
      </c>
    </row>
    <row r="46" spans="1:9" s="105" customFormat="1" ht="30" customHeight="1" x14ac:dyDescent="0.25">
      <c r="A46" s="103">
        <v>42</v>
      </c>
      <c r="B46" s="93" t="s">
        <v>52</v>
      </c>
      <c r="C46" s="93" t="str">
        <f>VLOOKUP(B46,Szarvasnévsor!A:C,2,FALSE)</f>
        <v>X2000029</v>
      </c>
      <c r="D46" s="93" t="str">
        <f>VLOOKUP(B46,Szarvasnévsor!A:C,3,FALSE)</f>
        <v>U0000030332</v>
      </c>
      <c r="E46" s="92">
        <v>380</v>
      </c>
      <c r="F46" s="93">
        <f>VLOOKUP(B46,Szarvas!$A$123:$AG$245,33,FALSE)</f>
        <v>3</v>
      </c>
      <c r="G46" s="94">
        <v>460</v>
      </c>
      <c r="H46" s="104">
        <f>VLOOKUP(B46,Szarvas!$A$3:$AG$120,33,FALSE)</f>
        <v>0</v>
      </c>
      <c r="I46" s="94">
        <f t="shared" si="0"/>
        <v>1140</v>
      </c>
    </row>
    <row r="47" spans="1:9" s="105" customFormat="1" ht="30" customHeight="1" x14ac:dyDescent="0.25">
      <c r="A47" s="103">
        <v>43</v>
      </c>
      <c r="B47" s="93" t="s">
        <v>53</v>
      </c>
      <c r="C47" s="93" t="str">
        <f>VLOOKUP(B47,Szarvasnévsor!A:C,2,FALSE)</f>
        <v>X2000029</v>
      </c>
      <c r="D47" s="93" t="str">
        <f>VLOOKUP(B47,Szarvasnévsor!A:C,3,FALSE)</f>
        <v>U0000030332</v>
      </c>
      <c r="E47" s="92">
        <v>380</v>
      </c>
      <c r="F47" s="93">
        <f>VLOOKUP(B47,Szarvas!$A$123:$AG$245,33,FALSE)</f>
        <v>8</v>
      </c>
      <c r="G47" s="94">
        <v>460</v>
      </c>
      <c r="H47" s="104">
        <f>VLOOKUP(B47,Szarvas!$A$3:$AG$120,33,FALSE)</f>
        <v>0</v>
      </c>
      <c r="I47" s="94">
        <f t="shared" si="0"/>
        <v>3040</v>
      </c>
    </row>
    <row r="48" spans="1:9" s="105" customFormat="1" ht="30" customHeight="1" x14ac:dyDescent="0.25">
      <c r="A48" s="103">
        <v>44</v>
      </c>
      <c r="B48" s="93" t="s">
        <v>54</v>
      </c>
      <c r="C48" s="93" t="str">
        <f>VLOOKUP(B48,Szarvasnévsor!A:C,2,FALSE)</f>
        <v>X2000029</v>
      </c>
      <c r="D48" s="93" t="str">
        <f>VLOOKUP(B48,Szarvasnévsor!A:C,3,FALSE)</f>
        <v>U0000030332</v>
      </c>
      <c r="E48" s="92">
        <v>380</v>
      </c>
      <c r="F48" s="93">
        <f>VLOOKUP(B48,Szarvas!$A$123:$AG$245,33,FALSE)</f>
        <v>8</v>
      </c>
      <c r="G48" s="94">
        <v>460</v>
      </c>
      <c r="H48" s="104">
        <f>VLOOKUP(B48,Szarvas!$A$3:$AG$120,33,FALSE)</f>
        <v>0</v>
      </c>
      <c r="I48" s="94">
        <f t="shared" si="0"/>
        <v>3040</v>
      </c>
    </row>
    <row r="49" spans="1:9" s="105" customFormat="1" ht="30" customHeight="1" x14ac:dyDescent="0.25">
      <c r="A49" s="103">
        <v>45</v>
      </c>
      <c r="B49" s="93" t="s">
        <v>55</v>
      </c>
      <c r="C49" s="93" t="str">
        <f>VLOOKUP(B49,Szarvasnévsor!A:C,2,FALSE)</f>
        <v>X2000030</v>
      </c>
      <c r="D49" s="93" t="str">
        <f>VLOOKUP(B49,Szarvasnévsor!A:C,3,FALSE)</f>
        <v>U0000030332</v>
      </c>
      <c r="E49" s="92">
        <v>380</v>
      </c>
      <c r="F49" s="93">
        <f>VLOOKUP(B49,Szarvas!$A$123:$AG$245,33,FALSE)</f>
        <v>15</v>
      </c>
      <c r="G49" s="94">
        <v>460</v>
      </c>
      <c r="H49" s="104">
        <f>VLOOKUP(B49,Szarvas!$A$3:$AG$120,33,FALSE)</f>
        <v>0</v>
      </c>
      <c r="I49" s="94">
        <f t="shared" si="0"/>
        <v>5700</v>
      </c>
    </row>
    <row r="50" spans="1:9" s="105" customFormat="1" ht="30" customHeight="1" x14ac:dyDescent="0.25">
      <c r="A50" s="103">
        <v>46</v>
      </c>
      <c r="B50" s="93" t="s">
        <v>56</v>
      </c>
      <c r="C50" s="93" t="str">
        <f>VLOOKUP(B50,Szarvasnévsor!A:C,2,FALSE)</f>
        <v>X2000029</v>
      </c>
      <c r="D50" s="93" t="str">
        <f>VLOOKUP(B50,Szarvasnévsor!A:C,3,FALSE)</f>
        <v>U0000030332</v>
      </c>
      <c r="E50" s="92">
        <v>380</v>
      </c>
      <c r="F50" s="93">
        <f>VLOOKUP(B50,Szarvas!$A$123:$AG$245,33,FALSE)</f>
        <v>6</v>
      </c>
      <c r="G50" s="94">
        <v>460</v>
      </c>
      <c r="H50" s="104">
        <f>VLOOKUP(B50,Szarvas!$A$3:$AG$120,33,FALSE)</f>
        <v>0</v>
      </c>
      <c r="I50" s="94">
        <f t="shared" si="0"/>
        <v>2280</v>
      </c>
    </row>
    <row r="51" spans="1:9" s="105" customFormat="1" ht="30" customHeight="1" x14ac:dyDescent="0.25">
      <c r="A51" s="103">
        <v>47</v>
      </c>
      <c r="B51" s="93" t="s">
        <v>57</v>
      </c>
      <c r="C51" s="93" t="str">
        <f>VLOOKUP(B51,Szarvasnévsor!A:C,2,FALSE)</f>
        <v>X2000029</v>
      </c>
      <c r="D51" s="93" t="str">
        <f>VLOOKUP(B51,Szarvasnévsor!A:C,3,FALSE)</f>
        <v>U0000030332</v>
      </c>
      <c r="E51" s="92">
        <v>380</v>
      </c>
      <c r="F51" s="93">
        <f>VLOOKUP(B51,Szarvas!$A$123:$AG$245,33,FALSE)</f>
        <v>3</v>
      </c>
      <c r="G51" s="94">
        <v>460</v>
      </c>
      <c r="H51" s="104">
        <f>VLOOKUP(B51,Szarvas!$A$3:$AG$120,33,FALSE)</f>
        <v>0</v>
      </c>
      <c r="I51" s="94">
        <f t="shared" si="0"/>
        <v>1140</v>
      </c>
    </row>
    <row r="52" spans="1:9" s="105" customFormat="1" ht="30" customHeight="1" x14ac:dyDescent="0.25">
      <c r="A52" s="103">
        <v>48</v>
      </c>
      <c r="B52" s="93" t="s">
        <v>36</v>
      </c>
      <c r="C52" s="93" t="str">
        <f>VLOOKUP(B52,Szarvasnévsor!A:C,2,FALSE)</f>
        <v>X8800205</v>
      </c>
      <c r="D52" s="93" t="str">
        <f>VLOOKUP(B52,Szarvasnévsor!A:C,3,FALSE)</f>
        <v>U0000030332</v>
      </c>
      <c r="E52" s="92">
        <v>380</v>
      </c>
      <c r="F52" s="93">
        <f>VLOOKUP(B52,Szarvas!$A$123:$AG$245,33,FALSE)</f>
        <v>1</v>
      </c>
      <c r="G52" s="94">
        <v>460</v>
      </c>
      <c r="H52" s="104">
        <f>VLOOKUP(B52,Szarvas!$A$3:$AG$120,33,FALSE)</f>
        <v>0</v>
      </c>
      <c r="I52" s="94">
        <f t="shared" si="0"/>
        <v>380</v>
      </c>
    </row>
    <row r="53" spans="1:9" s="105" customFormat="1" ht="30" customHeight="1" x14ac:dyDescent="0.25">
      <c r="A53" s="103">
        <v>49</v>
      </c>
      <c r="B53" s="93" t="s">
        <v>37</v>
      </c>
      <c r="C53" s="93" t="str">
        <f>VLOOKUP(B53,Szarvasnévsor!A:C,2,FALSE)</f>
        <v>X8800205</v>
      </c>
      <c r="D53" s="93" t="str">
        <f>VLOOKUP(B53,Szarvasnévsor!A:C,3,FALSE)</f>
        <v>U0000030332</v>
      </c>
      <c r="E53" s="92">
        <v>380</v>
      </c>
      <c r="F53" s="93">
        <f>VLOOKUP(B53,Szarvas!$A$123:$AG$245,33,FALSE)</f>
        <v>13</v>
      </c>
      <c r="G53" s="94">
        <v>460</v>
      </c>
      <c r="H53" s="104">
        <f>VLOOKUP(B53,Szarvas!$A$3:$AG$120,33,FALSE)</f>
        <v>0</v>
      </c>
      <c r="I53" s="94">
        <f t="shared" si="0"/>
        <v>4940</v>
      </c>
    </row>
    <row r="54" spans="1:9" s="105" customFormat="1" ht="30" customHeight="1" x14ac:dyDescent="0.25">
      <c r="A54" s="103">
        <v>50</v>
      </c>
      <c r="B54" s="93" t="s">
        <v>45</v>
      </c>
      <c r="C54" s="93" t="str">
        <f>VLOOKUP(B54,Szarvasnévsor!A:C,2,FALSE)</f>
        <v>X8800205</v>
      </c>
      <c r="D54" s="93" t="str">
        <f>VLOOKUP(B54,Szarvasnévsor!A:C,3,FALSE)</f>
        <v>U0000030332</v>
      </c>
      <c r="E54" s="92">
        <v>380</v>
      </c>
      <c r="F54" s="93">
        <f>VLOOKUP(B54,Szarvas!$A$123:$AG$245,33,FALSE)</f>
        <v>4</v>
      </c>
      <c r="G54" s="94">
        <v>460</v>
      </c>
      <c r="H54" s="104">
        <f>VLOOKUP(B54,Szarvas!$A$3:$AG$120,33,FALSE)</f>
        <v>0</v>
      </c>
      <c r="I54" s="94">
        <f t="shared" si="0"/>
        <v>1520</v>
      </c>
    </row>
    <row r="55" spans="1:9" s="105" customFormat="1" ht="30" customHeight="1" x14ac:dyDescent="0.25">
      <c r="A55" s="103">
        <v>51</v>
      </c>
      <c r="B55" s="93" t="s">
        <v>38</v>
      </c>
      <c r="C55" s="93" t="str">
        <f>VLOOKUP(B55,Szarvasnévsor!A:C,2,FALSE)</f>
        <v>X8800205</v>
      </c>
      <c r="D55" s="93" t="str">
        <f>VLOOKUP(B55,Szarvasnévsor!A:C,3,FALSE)</f>
        <v>U0000030332</v>
      </c>
      <c r="E55" s="92">
        <v>380</v>
      </c>
      <c r="F55" s="93">
        <f>VLOOKUP(B55,Szarvas!$A$123:$AG$245,33,FALSE)</f>
        <v>0</v>
      </c>
      <c r="G55" s="94">
        <v>460</v>
      </c>
      <c r="H55" s="104">
        <f>VLOOKUP(B55,Szarvas!$A$3:$AG$120,33,FALSE)</f>
        <v>0</v>
      </c>
      <c r="I55" s="94">
        <f t="shared" si="0"/>
        <v>0</v>
      </c>
    </row>
    <row r="56" spans="1:9" s="105" customFormat="1" ht="30" customHeight="1" x14ac:dyDescent="0.25">
      <c r="A56" s="103">
        <v>52</v>
      </c>
      <c r="B56" s="93" t="s">
        <v>40</v>
      </c>
      <c r="C56" s="93" t="str">
        <f>VLOOKUP(B56,Szarvasnévsor!A:C,2,FALSE)</f>
        <v>X8800205</v>
      </c>
      <c r="D56" s="93" t="str">
        <f>VLOOKUP(B56,Szarvasnévsor!A:C,3,FALSE)</f>
        <v>U0000030332</v>
      </c>
      <c r="E56" s="92">
        <v>380</v>
      </c>
      <c r="F56" s="93">
        <f>VLOOKUP(B56,Szarvas!$A$123:$AG$245,33,FALSE)</f>
        <v>0</v>
      </c>
      <c r="G56" s="94">
        <v>460</v>
      </c>
      <c r="H56" s="104">
        <f>VLOOKUP(B56,Szarvas!$A$3:$AG$120,33,FALSE)</f>
        <v>0</v>
      </c>
      <c r="I56" s="94">
        <f t="shared" si="0"/>
        <v>0</v>
      </c>
    </row>
    <row r="57" spans="1:9" s="105" customFormat="1" ht="30" customHeight="1" x14ac:dyDescent="0.25">
      <c r="A57" s="103">
        <v>53</v>
      </c>
      <c r="B57" s="93" t="s">
        <v>431</v>
      </c>
      <c r="C57" s="93" t="str">
        <f>VLOOKUP(B57,Szarvasnévsor!A:C,2,FALSE)</f>
        <v>X2000020</v>
      </c>
      <c r="D57" s="93" t="str">
        <f>VLOOKUP(B57,Szarvasnévsor!A:C,3,FALSE)</f>
        <v>U0000030331</v>
      </c>
      <c r="E57" s="92">
        <v>380</v>
      </c>
      <c r="F57" s="93">
        <f>VLOOKUP(B57,Szarvas!$A$123:$AG$245,33,FALSE)</f>
        <v>0</v>
      </c>
      <c r="G57" s="94">
        <v>460</v>
      </c>
      <c r="H57" s="104">
        <f>VLOOKUP(B57,Szarvas!$A$3:$AG$120,33,FALSE)</f>
        <v>0</v>
      </c>
      <c r="I57" s="94">
        <f t="shared" si="0"/>
        <v>0</v>
      </c>
    </row>
    <row r="58" spans="1:9" s="105" customFormat="1" ht="30" customHeight="1" x14ac:dyDescent="0.25">
      <c r="A58" s="103">
        <v>54</v>
      </c>
      <c r="B58" s="93" t="s">
        <v>42</v>
      </c>
      <c r="C58" s="93" t="str">
        <f>VLOOKUP(B58,Szarvasnévsor!A:C,2,FALSE)</f>
        <v>X8800205</v>
      </c>
      <c r="D58" s="93" t="str">
        <f>VLOOKUP(B58,Szarvasnévsor!A:C,3,FALSE)</f>
        <v>U0000030332</v>
      </c>
      <c r="E58" s="92">
        <v>380</v>
      </c>
      <c r="F58" s="93">
        <f>VLOOKUP(B58,Szarvas!$A$123:$AG$245,33,FALSE)</f>
        <v>0</v>
      </c>
      <c r="G58" s="94">
        <v>460</v>
      </c>
      <c r="H58" s="104">
        <f>VLOOKUP(B58,Szarvas!$A$3:$AG$120,33,FALSE)</f>
        <v>0</v>
      </c>
      <c r="I58" s="94">
        <f t="shared" si="0"/>
        <v>0</v>
      </c>
    </row>
    <row r="59" spans="1:9" s="105" customFormat="1" ht="30" customHeight="1" x14ac:dyDescent="0.25">
      <c r="A59" s="103">
        <v>55</v>
      </c>
      <c r="B59" s="93" t="s">
        <v>43</v>
      </c>
      <c r="C59" s="93" t="str">
        <f>VLOOKUP(B59,Szarvasnévsor!A:C,2,FALSE)</f>
        <v>X8800205</v>
      </c>
      <c r="D59" s="93" t="str">
        <f>VLOOKUP(B59,Szarvasnévsor!A:C,3,FALSE)</f>
        <v>U0000030332</v>
      </c>
      <c r="E59" s="92">
        <v>380</v>
      </c>
      <c r="F59" s="93">
        <f>VLOOKUP(B59,Szarvas!$A$123:$AG$245,33,FALSE)</f>
        <v>4</v>
      </c>
      <c r="G59" s="94">
        <v>460</v>
      </c>
      <c r="H59" s="104">
        <f>VLOOKUP(B59,Szarvas!$A$3:$AG$120,33,FALSE)</f>
        <v>0</v>
      </c>
      <c r="I59" s="94">
        <f t="shared" si="0"/>
        <v>1520</v>
      </c>
    </row>
    <row r="60" spans="1:9" s="105" customFormat="1" ht="30" customHeight="1" x14ac:dyDescent="0.25">
      <c r="A60" s="103">
        <v>56</v>
      </c>
      <c r="B60" s="93" t="s">
        <v>41</v>
      </c>
      <c r="C60" s="93" t="str">
        <f>VLOOKUP(B60,Szarvasnévsor!A:C,2,FALSE)</f>
        <v>X8800205</v>
      </c>
      <c r="D60" s="93" t="str">
        <f>VLOOKUP(B60,Szarvasnévsor!A:C,3,FALSE)</f>
        <v>U0000030332</v>
      </c>
      <c r="E60" s="92">
        <v>380</v>
      </c>
      <c r="F60" s="93">
        <f>VLOOKUP(B60,Szarvas!$A$123:$AG$245,33,FALSE)</f>
        <v>0</v>
      </c>
      <c r="G60" s="94">
        <v>460</v>
      </c>
      <c r="H60" s="104">
        <f>VLOOKUP(B60,Szarvas!$A$3:$AG$120,33,FALSE)</f>
        <v>0</v>
      </c>
      <c r="I60" s="94">
        <f t="shared" si="0"/>
        <v>0</v>
      </c>
    </row>
    <row r="61" spans="1:9" s="105" customFormat="1" ht="30" customHeight="1" x14ac:dyDescent="0.25">
      <c r="A61" s="103">
        <v>57</v>
      </c>
      <c r="B61" s="93" t="s">
        <v>44</v>
      </c>
      <c r="C61" s="93" t="str">
        <f>VLOOKUP(B61,Szarvasnévsor!A:C,2,FALSE)</f>
        <v>X8800205</v>
      </c>
      <c r="D61" s="93" t="str">
        <f>VLOOKUP(B61,Szarvasnévsor!A:C,3,FALSE)</f>
        <v>U0000030332</v>
      </c>
      <c r="E61" s="92">
        <v>380</v>
      </c>
      <c r="F61" s="93">
        <f>VLOOKUP(B61,Szarvas!$A$123:$AG$245,33,FALSE)</f>
        <v>8</v>
      </c>
      <c r="G61" s="94">
        <v>460</v>
      </c>
      <c r="H61" s="104">
        <f>VLOOKUP(B61,Szarvas!$A$3:$AG$120,33,FALSE)</f>
        <v>0</v>
      </c>
      <c r="I61" s="94">
        <f t="shared" si="0"/>
        <v>3040</v>
      </c>
    </row>
    <row r="62" spans="1:9" s="105" customFormat="1" ht="30" customHeight="1" x14ac:dyDescent="0.25">
      <c r="A62" s="103">
        <v>58</v>
      </c>
      <c r="B62" s="93" t="s">
        <v>432</v>
      </c>
      <c r="C62" s="93" t="str">
        <f>VLOOKUP(B62,Szarvasnévsor!A:C,2,FALSE)</f>
        <v>X8800205</v>
      </c>
      <c r="D62" s="93" t="str">
        <f>VLOOKUP(B62,Szarvasnévsor!A:C,3,FALSE)</f>
        <v>U0000030332</v>
      </c>
      <c r="E62" s="92">
        <v>380</v>
      </c>
      <c r="F62" s="93">
        <f>VLOOKUP(B62,Szarvas!$A$123:$AG$245,33,FALSE)</f>
        <v>4</v>
      </c>
      <c r="G62" s="94">
        <v>460</v>
      </c>
      <c r="H62" s="104">
        <f>VLOOKUP(B62,Szarvas!$A$3:$AG$120,33,FALSE)</f>
        <v>0</v>
      </c>
      <c r="I62" s="94">
        <f t="shared" si="0"/>
        <v>1520</v>
      </c>
    </row>
    <row r="63" spans="1:9" s="105" customFormat="1" ht="30" customHeight="1" x14ac:dyDescent="0.25">
      <c r="A63" s="103">
        <v>59</v>
      </c>
      <c r="B63" s="93" t="s">
        <v>58</v>
      </c>
      <c r="C63" s="93" t="str">
        <f>VLOOKUP(B63,Szarvasnévsor!A:C,2,FALSE)</f>
        <v>X2000020</v>
      </c>
      <c r="D63" s="93" t="str">
        <f>VLOOKUP(B63,Szarvasnévsor!A:C,3,FALSE)</f>
        <v>U0000030331</v>
      </c>
      <c r="E63" s="92">
        <v>380</v>
      </c>
      <c r="F63" s="93">
        <f>VLOOKUP(B63,Szarvas!$A$123:$AG$245,33,FALSE)</f>
        <v>15</v>
      </c>
      <c r="G63" s="94">
        <v>460</v>
      </c>
      <c r="H63" s="104">
        <f>VLOOKUP(B63,Szarvas!$A$3:$AG$120,33,FALSE)</f>
        <v>0</v>
      </c>
      <c r="I63" s="94">
        <f t="shared" si="0"/>
        <v>5700</v>
      </c>
    </row>
    <row r="64" spans="1:9" s="105" customFormat="1" ht="30" customHeight="1" x14ac:dyDescent="0.25">
      <c r="A64" s="103">
        <v>60</v>
      </c>
      <c r="B64" s="93" t="s">
        <v>65</v>
      </c>
      <c r="C64" s="93" t="str">
        <f>VLOOKUP(B64,Szarvasnévsor!A:C,2,FALSE)</f>
        <v>X2000020</v>
      </c>
      <c r="D64" s="93" t="str">
        <f>VLOOKUP(B64,Szarvasnévsor!A:C,3,FALSE)</f>
        <v>U0000030331</v>
      </c>
      <c r="E64" s="92">
        <v>380</v>
      </c>
      <c r="F64" s="93">
        <f>VLOOKUP(B64,Szarvas!$A$123:$AG$245,33,FALSE)</f>
        <v>31</v>
      </c>
      <c r="G64" s="94">
        <v>460</v>
      </c>
      <c r="H64" s="104">
        <f>VLOOKUP(B64,Szarvas!$A$3:$AG$120,33,FALSE)</f>
        <v>0</v>
      </c>
      <c r="I64" s="94">
        <f t="shared" si="0"/>
        <v>11780</v>
      </c>
    </row>
    <row r="65" spans="1:9" s="105" customFormat="1" ht="30" customHeight="1" x14ac:dyDescent="0.25">
      <c r="A65" s="103">
        <v>61</v>
      </c>
      <c r="B65" s="93" t="s">
        <v>61</v>
      </c>
      <c r="C65" s="93" t="str">
        <f>VLOOKUP(B65,Szarvasnévsor!A:C,2,FALSE)</f>
        <v>X2000020</v>
      </c>
      <c r="D65" s="93" t="str">
        <f>VLOOKUP(B65,Szarvasnévsor!A:C,3,FALSE)</f>
        <v>U0000030331</v>
      </c>
      <c r="E65" s="92">
        <v>380</v>
      </c>
      <c r="F65" s="93">
        <f>VLOOKUP(B65,Szarvas!$A$123:$AG$245,33,FALSE)</f>
        <v>10</v>
      </c>
      <c r="G65" s="94">
        <v>460</v>
      </c>
      <c r="H65" s="104">
        <f>VLOOKUP(B65,Szarvas!$A$3:$AG$120,33,FALSE)</f>
        <v>30</v>
      </c>
      <c r="I65" s="94">
        <f t="shared" si="0"/>
        <v>17600</v>
      </c>
    </row>
    <row r="66" spans="1:9" s="105" customFormat="1" ht="30" customHeight="1" x14ac:dyDescent="0.25">
      <c r="A66" s="103">
        <v>62</v>
      </c>
      <c r="B66" s="93" t="s">
        <v>60</v>
      </c>
      <c r="C66" s="93" t="str">
        <f>VLOOKUP(B66,Szarvasnévsor!A:C,2,FALSE)</f>
        <v>X2000020</v>
      </c>
      <c r="D66" s="93" t="str">
        <f>VLOOKUP(B66,Szarvasnévsor!A:C,3,FALSE)</f>
        <v>U0000030331</v>
      </c>
      <c r="E66" s="92">
        <v>380</v>
      </c>
      <c r="F66" s="93">
        <f>VLOOKUP(B66,Szarvas!$A$123:$AG$245,33,FALSE)</f>
        <v>1</v>
      </c>
      <c r="G66" s="94">
        <v>460</v>
      </c>
      <c r="H66" s="104">
        <f>VLOOKUP(B66,Szarvas!$A$3:$AG$120,33,FALSE)</f>
        <v>0</v>
      </c>
      <c r="I66" s="94">
        <f t="shared" si="0"/>
        <v>380</v>
      </c>
    </row>
    <row r="67" spans="1:9" s="105" customFormat="1" ht="30" customHeight="1" x14ac:dyDescent="0.25">
      <c r="A67" s="103">
        <v>63</v>
      </c>
      <c r="B67" s="93" t="s">
        <v>62</v>
      </c>
      <c r="C67" s="93" t="str">
        <f>VLOOKUP(B67,Szarvasnévsor!A:C,2,FALSE)</f>
        <v>X2000020</v>
      </c>
      <c r="D67" s="93" t="str">
        <f>VLOOKUP(B67,Szarvasnévsor!A:C,3,FALSE)</f>
        <v>U0000030331</v>
      </c>
      <c r="E67" s="92">
        <v>380</v>
      </c>
      <c r="F67" s="93">
        <f>VLOOKUP(B67,Szarvas!$A$123:$AG$245,33,FALSE)</f>
        <v>0</v>
      </c>
      <c r="G67" s="94">
        <v>460</v>
      </c>
      <c r="H67" s="104">
        <f>VLOOKUP(B67,Szarvas!$A$3:$AG$120,33,FALSE)</f>
        <v>0</v>
      </c>
      <c r="I67" s="94">
        <f t="shared" si="0"/>
        <v>0</v>
      </c>
    </row>
    <row r="68" spans="1:9" s="105" customFormat="1" ht="30" customHeight="1" x14ac:dyDescent="0.25">
      <c r="A68" s="103">
        <v>64</v>
      </c>
      <c r="B68" s="93" t="s">
        <v>64</v>
      </c>
      <c r="C68" s="93" t="str">
        <f>VLOOKUP(B68,Szarvasnévsor!A:C,2,FALSE)</f>
        <v>X8800205</v>
      </c>
      <c r="D68" s="93" t="str">
        <f>VLOOKUP(B68,Szarvasnévsor!A:C,3,FALSE)</f>
        <v>U0000030332</v>
      </c>
      <c r="E68" s="92">
        <v>380</v>
      </c>
      <c r="F68" s="93">
        <f>VLOOKUP(B68,Szarvas!$A$123:$AG$245,33,FALSE)</f>
        <v>11</v>
      </c>
      <c r="G68" s="94">
        <v>460</v>
      </c>
      <c r="H68" s="104">
        <f>VLOOKUP(B68,Szarvas!$A$3:$AG$120,33,FALSE)</f>
        <v>0</v>
      </c>
      <c r="I68" s="94">
        <f t="shared" ref="I68:I86" si="1">(E68*F68)+(G68*H68)</f>
        <v>4180</v>
      </c>
    </row>
    <row r="69" spans="1:9" s="105" customFormat="1" ht="30" customHeight="1" x14ac:dyDescent="0.25">
      <c r="A69" s="103">
        <v>65</v>
      </c>
      <c r="B69" s="93" t="s">
        <v>66</v>
      </c>
      <c r="C69" s="93" t="str">
        <f>VLOOKUP(B69,Szarvasnévsor!A:C,2,FALSE)</f>
        <v>X2000020</v>
      </c>
      <c r="D69" s="93" t="str">
        <f>VLOOKUP(B69,Szarvasnévsor!A:C,3,FALSE)</f>
        <v>U0000030331</v>
      </c>
      <c r="E69" s="92">
        <v>380</v>
      </c>
      <c r="F69" s="93">
        <f>VLOOKUP(B69,Szarvas!$A$123:$AG$245,33,FALSE)</f>
        <v>12</v>
      </c>
      <c r="G69" s="94">
        <v>460</v>
      </c>
      <c r="H69" s="104">
        <f>VLOOKUP(B69,Szarvas!$A$3:$AG$120,33,FALSE)</f>
        <v>0</v>
      </c>
      <c r="I69" s="94">
        <f t="shared" si="1"/>
        <v>4560</v>
      </c>
    </row>
    <row r="70" spans="1:9" s="105" customFormat="1" ht="30" customHeight="1" x14ac:dyDescent="0.25">
      <c r="A70" s="103">
        <v>66</v>
      </c>
      <c r="B70" s="93" t="s">
        <v>59</v>
      </c>
      <c r="C70" s="93" t="str">
        <f>VLOOKUP(B70,Szarvasnévsor!A:C,2,FALSE)</f>
        <v>X2000020</v>
      </c>
      <c r="D70" s="93" t="str">
        <f>VLOOKUP(B70,Szarvasnévsor!A:C,3,FALSE)</f>
        <v>U0000030331</v>
      </c>
      <c r="E70" s="92">
        <v>380</v>
      </c>
      <c r="F70" s="93">
        <f>VLOOKUP(B70,Szarvas!$A$123:$AG$245,33,FALSE)</f>
        <v>0</v>
      </c>
      <c r="G70" s="94">
        <v>460</v>
      </c>
      <c r="H70" s="104">
        <f>VLOOKUP(B70,Szarvas!$A$3:$AG$120,33,FALSE)</f>
        <v>0</v>
      </c>
      <c r="I70" s="94">
        <f t="shared" si="1"/>
        <v>0</v>
      </c>
    </row>
    <row r="71" spans="1:9" s="105" customFormat="1" ht="30" customHeight="1" x14ac:dyDescent="0.25">
      <c r="A71" s="103">
        <v>67</v>
      </c>
      <c r="B71" s="93" t="s">
        <v>63</v>
      </c>
      <c r="C71" s="93" t="str">
        <f>VLOOKUP(B71,Szarvasnévsor!A:C,2,FALSE)</f>
        <v>X2000020</v>
      </c>
      <c r="D71" s="93" t="str">
        <f>VLOOKUP(B71,Szarvasnévsor!A:C,3,FALSE)</f>
        <v>U0000030331</v>
      </c>
      <c r="E71" s="92">
        <v>380</v>
      </c>
      <c r="F71" s="93">
        <f>VLOOKUP(B71,Szarvas!$A$123:$AG$245,33,FALSE)</f>
        <v>8</v>
      </c>
      <c r="G71" s="94">
        <v>460</v>
      </c>
      <c r="H71" s="104">
        <f>VLOOKUP(B71,Szarvas!$A$3:$AG$120,33,FALSE)</f>
        <v>0</v>
      </c>
      <c r="I71" s="94">
        <f t="shared" si="1"/>
        <v>3040</v>
      </c>
    </row>
    <row r="72" spans="1:9" s="105" customFormat="1" ht="30" customHeight="1" x14ac:dyDescent="0.25">
      <c r="A72" s="103">
        <v>68</v>
      </c>
      <c r="B72" s="93" t="s">
        <v>67</v>
      </c>
      <c r="C72" s="93" t="str">
        <f>VLOOKUP(B72,Szarvasnévsor!A:C,2,FALSE)</f>
        <v>X2000029</v>
      </c>
      <c r="D72" s="93" t="str">
        <f>VLOOKUP(B72,Szarvasnévsor!A:C,3,FALSE)</f>
        <v>U0000030332</v>
      </c>
      <c r="E72" s="92">
        <v>380</v>
      </c>
      <c r="F72" s="93">
        <f>VLOOKUP(B72,Szarvas!$A$123:$AG$245,33,FALSE)</f>
        <v>2</v>
      </c>
      <c r="G72" s="94">
        <v>460</v>
      </c>
      <c r="H72" s="104">
        <f>VLOOKUP(B72,Szarvas!$A$3:$AG$120,33,FALSE)</f>
        <v>0</v>
      </c>
      <c r="I72" s="94">
        <f t="shared" si="1"/>
        <v>760</v>
      </c>
    </row>
    <row r="73" spans="1:9" s="105" customFormat="1" ht="30" customHeight="1" x14ac:dyDescent="0.25">
      <c r="A73" s="103">
        <v>69</v>
      </c>
      <c r="B73" s="93" t="s">
        <v>68</v>
      </c>
      <c r="C73" s="93" t="str">
        <f>VLOOKUP(B73,Szarvasnévsor!A:C,2,FALSE)</f>
        <v>X2000029</v>
      </c>
      <c r="D73" s="93" t="str">
        <f>VLOOKUP(B73,Szarvasnévsor!A:C,3,FALSE)</f>
        <v>U0000030332</v>
      </c>
      <c r="E73" s="92">
        <v>380</v>
      </c>
      <c r="F73" s="93">
        <f>VLOOKUP(B73,Szarvas!$A$123:$AG$245,33,FALSE)</f>
        <v>0</v>
      </c>
      <c r="G73" s="94">
        <v>460</v>
      </c>
      <c r="H73" s="104">
        <f>VLOOKUP(B73,Szarvas!$A$3:$AG$120,33,FALSE)</f>
        <v>0</v>
      </c>
      <c r="I73" s="94">
        <f t="shared" si="1"/>
        <v>0</v>
      </c>
    </row>
    <row r="74" spans="1:9" s="105" customFormat="1" ht="30" customHeight="1" x14ac:dyDescent="0.25">
      <c r="A74" s="103">
        <v>70</v>
      </c>
      <c r="B74" s="93" t="s">
        <v>69</v>
      </c>
      <c r="C74" s="93" t="str">
        <f>VLOOKUP(B74,Szarvasnévsor!A:C,2,FALSE)</f>
        <v>X2000020</v>
      </c>
      <c r="D74" s="93" t="str">
        <f>VLOOKUP(B74,Szarvasnévsor!A:C,3,FALSE)</f>
        <v>U0000030331</v>
      </c>
      <c r="E74" s="92">
        <v>380</v>
      </c>
      <c r="F74" s="93">
        <f>VLOOKUP(B74,Szarvas!$A$123:$AG$245,33,FALSE)</f>
        <v>0</v>
      </c>
      <c r="G74" s="94">
        <v>460</v>
      </c>
      <c r="H74" s="104">
        <f>VLOOKUP(B74,Szarvas!$A$3:$AG$120,33,FALSE)</f>
        <v>0</v>
      </c>
      <c r="I74" s="94">
        <f t="shared" si="1"/>
        <v>0</v>
      </c>
    </row>
    <row r="75" spans="1:9" s="105" customFormat="1" ht="30" customHeight="1" x14ac:dyDescent="0.25">
      <c r="A75" s="103">
        <v>71</v>
      </c>
      <c r="B75" s="93" t="s">
        <v>70</v>
      </c>
      <c r="C75" s="93" t="str">
        <f>VLOOKUP(B75,Szarvasnévsor!A:C,2,FALSE)</f>
        <v>X2000020</v>
      </c>
      <c r="D75" s="93" t="str">
        <f>VLOOKUP(B75,Szarvasnévsor!A:C,3,FALSE)</f>
        <v>U0000030331</v>
      </c>
      <c r="E75" s="92">
        <v>380</v>
      </c>
      <c r="F75" s="93">
        <f>VLOOKUP(B75,Szarvas!$A$123:$AG$245,33,FALSE)</f>
        <v>0</v>
      </c>
      <c r="G75" s="94">
        <v>460</v>
      </c>
      <c r="H75" s="104">
        <f>VLOOKUP(B75,Szarvas!$A$3:$AG$120,33,FALSE)</f>
        <v>0</v>
      </c>
      <c r="I75" s="94">
        <f t="shared" si="1"/>
        <v>0</v>
      </c>
    </row>
    <row r="76" spans="1:9" s="105" customFormat="1" ht="30" customHeight="1" x14ac:dyDescent="0.25">
      <c r="A76" s="103">
        <v>72</v>
      </c>
      <c r="B76" s="93" t="s">
        <v>71</v>
      </c>
      <c r="C76" s="93" t="str">
        <f>VLOOKUP(B76,Szarvasnévsor!A:C,2,FALSE)</f>
        <v>X2000020</v>
      </c>
      <c r="D76" s="93" t="str">
        <f>VLOOKUP(B76,Szarvasnévsor!A:C,3,FALSE)</f>
        <v>U0000030331</v>
      </c>
      <c r="E76" s="92">
        <v>380</v>
      </c>
      <c r="F76" s="93">
        <f>VLOOKUP(B76,Szarvas!$A$123:$AG$245,33,FALSE)</f>
        <v>0</v>
      </c>
      <c r="G76" s="94">
        <v>460</v>
      </c>
      <c r="H76" s="104">
        <f>VLOOKUP(B76,Szarvas!$A$3:$AG$120,33,FALSE)</f>
        <v>0</v>
      </c>
      <c r="I76" s="94">
        <f t="shared" si="1"/>
        <v>0</v>
      </c>
    </row>
    <row r="77" spans="1:9" s="105" customFormat="1" ht="30" customHeight="1" x14ac:dyDescent="0.25">
      <c r="A77" s="103">
        <v>75</v>
      </c>
      <c r="B77" s="93" t="s">
        <v>474</v>
      </c>
      <c r="C77" s="93" t="str">
        <f>VLOOKUP(B77,Szarvasnévsor!A:C,2,FALSE)</f>
        <v>X2000020</v>
      </c>
      <c r="D77" s="93" t="str">
        <f>VLOOKUP(B77,Szarvasnévsor!A:C,3,FALSE)</f>
        <v>U0000030331</v>
      </c>
      <c r="E77" s="92">
        <v>380</v>
      </c>
      <c r="F77" s="93">
        <f>VLOOKUP(B77,Szarvas!$A$123:$AG$245,33,FALSE)</f>
        <v>0</v>
      </c>
      <c r="G77" s="94">
        <v>460</v>
      </c>
      <c r="H77" s="104">
        <f>VLOOKUP(B77,Szarvas!$A$3:$AG$120,33,FALSE)</f>
        <v>0</v>
      </c>
      <c r="I77" s="94">
        <f t="shared" si="1"/>
        <v>0</v>
      </c>
    </row>
    <row r="78" spans="1:9" s="105" customFormat="1" ht="30" customHeight="1" x14ac:dyDescent="0.25">
      <c r="A78" s="103">
        <v>76</v>
      </c>
      <c r="B78" s="93" t="s">
        <v>74</v>
      </c>
      <c r="C78" s="93" t="str">
        <f>VLOOKUP(B78,Szarvasnévsor!A:C,2,FALSE)</f>
        <v>X2000020</v>
      </c>
      <c r="D78" s="93" t="str">
        <f>VLOOKUP(B78,Szarvasnévsor!A:C,3,FALSE)</f>
        <v>U0000030331</v>
      </c>
      <c r="E78" s="92">
        <v>380</v>
      </c>
      <c r="F78" s="93">
        <f>VLOOKUP(B78,Szarvas!$A$123:$AG$245,33,FALSE)</f>
        <v>10</v>
      </c>
      <c r="G78" s="94">
        <v>460</v>
      </c>
      <c r="H78" s="104">
        <f>VLOOKUP(B78,Szarvas!$A$3:$AG$120,33,FALSE)</f>
        <v>0</v>
      </c>
      <c r="I78" s="94">
        <f t="shared" si="1"/>
        <v>3800</v>
      </c>
    </row>
    <row r="79" spans="1:9" s="105" customFormat="1" ht="30" customHeight="1" x14ac:dyDescent="0.25">
      <c r="A79" s="103">
        <v>77</v>
      </c>
      <c r="B79" s="93" t="s">
        <v>75</v>
      </c>
      <c r="C79" s="93" t="str">
        <f>VLOOKUP(B79,Szarvasnévsor!A:C,2,FALSE)</f>
        <v>X2000020</v>
      </c>
      <c r="D79" s="93" t="str">
        <f>VLOOKUP(B79,Szarvasnévsor!A:C,3,FALSE)</f>
        <v>U0000030331</v>
      </c>
      <c r="E79" s="92">
        <v>380</v>
      </c>
      <c r="F79" s="93">
        <f>VLOOKUP(B79,Szarvas!$A$123:$AG$245,33,FALSE)</f>
        <v>3</v>
      </c>
      <c r="G79" s="94">
        <v>460</v>
      </c>
      <c r="H79" s="104">
        <f>VLOOKUP(B79,Szarvas!$A$3:$AG$120,33,FALSE)</f>
        <v>0</v>
      </c>
      <c r="I79" s="94">
        <f t="shared" si="1"/>
        <v>1140</v>
      </c>
    </row>
    <row r="80" spans="1:9" s="105" customFormat="1" ht="30" customHeight="1" x14ac:dyDescent="0.25">
      <c r="A80" s="103">
        <v>78</v>
      </c>
      <c r="B80" s="93" t="s">
        <v>390</v>
      </c>
      <c r="C80" s="93" t="str">
        <f>VLOOKUP(B80,Szarvasnévsor!A:C,2,FALSE)</f>
        <v>X2000020</v>
      </c>
      <c r="D80" s="93" t="str">
        <f>VLOOKUP(B80,Szarvasnévsor!A:C,3,FALSE)</f>
        <v>U0000030331</v>
      </c>
      <c r="E80" s="92">
        <v>380</v>
      </c>
      <c r="F80" s="93">
        <f>VLOOKUP(B80,Szarvas!$A$123:$AG$245,33,FALSE)</f>
        <v>18</v>
      </c>
      <c r="G80" s="94">
        <v>460</v>
      </c>
      <c r="H80" s="104">
        <f>VLOOKUP(B80,Szarvas!$A$3:$AG$120,33,FALSE)</f>
        <v>0</v>
      </c>
      <c r="I80" s="94">
        <f t="shared" si="1"/>
        <v>6840</v>
      </c>
    </row>
    <row r="81" spans="1:9" s="105" customFormat="1" ht="30" customHeight="1" x14ac:dyDescent="0.25">
      <c r="A81" s="103">
        <v>79</v>
      </c>
      <c r="B81" s="93" t="s">
        <v>76</v>
      </c>
      <c r="C81" s="93" t="str">
        <f>VLOOKUP(B81,Szarvasnévsor!A:C,2,FALSE)</f>
        <v>X2000020</v>
      </c>
      <c r="D81" s="93" t="str">
        <f>VLOOKUP(B81,Szarvasnévsor!A:C,3,FALSE)</f>
        <v>U0000030331</v>
      </c>
      <c r="E81" s="92">
        <v>380</v>
      </c>
      <c r="F81" s="93">
        <f>VLOOKUP(B81,Szarvas!$A$123:$AG$245,33,FALSE)</f>
        <v>10</v>
      </c>
      <c r="G81" s="94">
        <v>460</v>
      </c>
      <c r="H81" s="104">
        <f>VLOOKUP(B81,Szarvas!$A$3:$AG$120,33,FALSE)</f>
        <v>0</v>
      </c>
      <c r="I81" s="94">
        <f t="shared" si="1"/>
        <v>3800</v>
      </c>
    </row>
    <row r="82" spans="1:9" s="105" customFormat="1" ht="30" customHeight="1" x14ac:dyDescent="0.25">
      <c r="A82" s="103">
        <v>80</v>
      </c>
      <c r="B82" s="93" t="s">
        <v>77</v>
      </c>
      <c r="C82" s="93" t="str">
        <f>VLOOKUP(B82,Szarvasnévsor!A:C,2,FALSE)</f>
        <v>X2000020</v>
      </c>
      <c r="D82" s="93" t="str">
        <f>VLOOKUP(B82,Szarvasnévsor!A:C,3,FALSE)</f>
        <v>U0000030331</v>
      </c>
      <c r="E82" s="92">
        <v>380</v>
      </c>
      <c r="F82" s="93">
        <f>VLOOKUP(B82,Szarvas!$A$123:$AG$245,33,FALSE)</f>
        <v>4</v>
      </c>
      <c r="G82" s="94">
        <v>460</v>
      </c>
      <c r="H82" s="104">
        <f>VLOOKUP(B82,Szarvas!$A$3:$AG$120,33,FALSE)</f>
        <v>0</v>
      </c>
      <c r="I82" s="94">
        <f t="shared" si="1"/>
        <v>1520</v>
      </c>
    </row>
    <row r="83" spans="1:9" s="105" customFormat="1" ht="30" customHeight="1" x14ac:dyDescent="0.25">
      <c r="A83" s="103">
        <v>81</v>
      </c>
      <c r="B83" s="93" t="s">
        <v>448</v>
      </c>
      <c r="C83" s="93" t="str">
        <f>VLOOKUP(B83,Szarvasnévsor!A:C,2,FALSE)</f>
        <v>X2000020</v>
      </c>
      <c r="D83" s="93" t="str">
        <f>VLOOKUP(B83,Szarvasnévsor!A:C,3,FALSE)</f>
        <v>U0000030331</v>
      </c>
      <c r="E83" s="92">
        <v>380</v>
      </c>
      <c r="F83" s="93">
        <f>VLOOKUP(B83,Szarvas!$A$123:$AG$245,33,FALSE)</f>
        <v>15</v>
      </c>
      <c r="G83" s="94">
        <v>460</v>
      </c>
      <c r="H83" s="104">
        <f>VLOOKUP(B83,Szarvas!$A$3:$AG$120,33,FALSE)</f>
        <v>28</v>
      </c>
      <c r="I83" s="94">
        <f t="shared" si="1"/>
        <v>18580</v>
      </c>
    </row>
    <row r="84" spans="1:9" s="105" customFormat="1" ht="30" customHeight="1" x14ac:dyDescent="0.25">
      <c r="A84" s="103">
        <v>82</v>
      </c>
      <c r="B84" s="93" t="s">
        <v>81</v>
      </c>
      <c r="C84" s="93" t="str">
        <f>VLOOKUP(B84,Szarvasnévsor!A:C,2,FALSE)</f>
        <v>X2000020</v>
      </c>
      <c r="D84" s="93" t="str">
        <f>VLOOKUP(B84,Szarvasnévsor!A:C,3,FALSE)</f>
        <v>U0000030331</v>
      </c>
      <c r="E84" s="92">
        <v>380</v>
      </c>
      <c r="F84" s="93">
        <f>VLOOKUP(B84,Szarvas!$A$123:$AG$245,33,FALSE)</f>
        <v>0</v>
      </c>
      <c r="G84" s="94">
        <v>460</v>
      </c>
      <c r="H84" s="104">
        <f>VLOOKUP(B84,Szarvas!$A$3:$AG$120,33,FALSE)</f>
        <v>0</v>
      </c>
      <c r="I84" s="94">
        <f t="shared" si="1"/>
        <v>0</v>
      </c>
    </row>
    <row r="85" spans="1:9" s="105" customFormat="1" ht="30" customHeight="1" x14ac:dyDescent="0.25">
      <c r="A85" s="103">
        <v>83</v>
      </c>
      <c r="B85" s="93" t="s">
        <v>78</v>
      </c>
      <c r="C85" s="93" t="str">
        <f>VLOOKUP(B85,Szarvasnévsor!A:C,2,FALSE)</f>
        <v>X2000020</v>
      </c>
      <c r="D85" s="93" t="str">
        <f>VLOOKUP(B85,Szarvasnévsor!A:C,3,FALSE)</f>
        <v>U0000030331</v>
      </c>
      <c r="E85" s="92">
        <v>380</v>
      </c>
      <c r="F85" s="93">
        <f>VLOOKUP(B85,Szarvas!$A$123:$AG$245,33,FALSE)</f>
        <v>0</v>
      </c>
      <c r="G85" s="94">
        <v>460</v>
      </c>
      <c r="H85" s="104">
        <f>VLOOKUP(B85,Szarvas!$A$3:$AG$120,33,FALSE)</f>
        <v>0</v>
      </c>
      <c r="I85" s="94">
        <f t="shared" si="1"/>
        <v>0</v>
      </c>
    </row>
    <row r="86" spans="1:9" s="105" customFormat="1" ht="30" customHeight="1" x14ac:dyDescent="0.25">
      <c r="A86" s="103">
        <v>84</v>
      </c>
      <c r="B86" s="93" t="s">
        <v>79</v>
      </c>
      <c r="C86" s="93" t="str">
        <f>VLOOKUP(B86,Szarvasnévsor!A:C,2,FALSE)</f>
        <v>X2000020</v>
      </c>
      <c r="D86" s="93" t="str">
        <f>VLOOKUP(B86,Szarvasnévsor!A:C,3,FALSE)</f>
        <v>U0000030331</v>
      </c>
      <c r="E86" s="92">
        <v>380</v>
      </c>
      <c r="F86" s="93">
        <f>VLOOKUP(B86,Szarvas!$A$123:$AG$245,33,FALSE)</f>
        <v>10</v>
      </c>
      <c r="G86" s="94">
        <v>460</v>
      </c>
      <c r="H86" s="104">
        <f>VLOOKUP(B86,Szarvas!$A$3:$AG$120,33,FALSE)</f>
        <v>8</v>
      </c>
      <c r="I86" s="94">
        <f t="shared" si="1"/>
        <v>7480</v>
      </c>
    </row>
    <row r="87" spans="1:9" s="105" customFormat="1" ht="30" customHeight="1" x14ac:dyDescent="0.25">
      <c r="A87" s="103">
        <v>85</v>
      </c>
      <c r="B87" s="106" t="s">
        <v>80</v>
      </c>
      <c r="C87" s="93" t="str">
        <f>VLOOKUP(B87,Szarvasnévsor!A:C,2,FALSE)</f>
        <v>X2000020</v>
      </c>
      <c r="D87" s="93" t="str">
        <f>VLOOKUP(B87,Szarvasnévsor!A:C,3,FALSE)</f>
        <v>U0000030331</v>
      </c>
      <c r="E87" s="107">
        <v>380</v>
      </c>
      <c r="F87" s="93">
        <f>VLOOKUP(B87,Szarvas!$A$123:$AG$245,33,FALSE)</f>
        <v>11</v>
      </c>
      <c r="G87" s="108">
        <v>460</v>
      </c>
      <c r="H87" s="104">
        <f>VLOOKUP(B87,Szarvas!$A$3:$AG$120,33,FALSE)</f>
        <v>3</v>
      </c>
      <c r="I87" s="108">
        <f>(E87*F87)+(G87*H87)</f>
        <v>5560</v>
      </c>
    </row>
    <row r="88" spans="1:9" s="105" customFormat="1" ht="30" customHeight="1" x14ac:dyDescent="0.25">
      <c r="A88" s="103">
        <v>86</v>
      </c>
      <c r="B88" s="106" t="s">
        <v>472</v>
      </c>
      <c r="C88" s="93" t="str">
        <f>VLOOKUP(B88,Szarvasnévsor!A:C,2,FALSE)</f>
        <v>X8800205</v>
      </c>
      <c r="D88" s="93" t="str">
        <f>VLOOKUP(B88,Szarvasnévsor!A:C,3,FALSE)</f>
        <v>U0000030332</v>
      </c>
      <c r="E88" s="92">
        <v>380</v>
      </c>
      <c r="F88" s="93">
        <f>VLOOKUP(B88,Szarvas!$A$123:$AG$245,33,FALSE)</f>
        <v>0</v>
      </c>
      <c r="G88" s="94">
        <v>460</v>
      </c>
      <c r="H88" s="104">
        <f>VLOOKUP(B88,Szarvas!$A$3:$AG$120,33,FALSE)</f>
        <v>0</v>
      </c>
      <c r="I88" s="108">
        <f>(E88*F88)+(G88*H88)</f>
        <v>0</v>
      </c>
    </row>
    <row r="89" spans="1:9" s="105" customFormat="1" ht="30" customHeight="1" x14ac:dyDescent="0.25">
      <c r="A89" s="103">
        <v>87</v>
      </c>
      <c r="B89" s="106" t="s">
        <v>441</v>
      </c>
      <c r="C89" s="93" t="str">
        <f>VLOOKUP(B89,Szarvasnévsor!A:C,2,FALSE)</f>
        <v>X2000020</v>
      </c>
      <c r="D89" s="93" t="str">
        <f>VLOOKUP(B89,Szarvasnévsor!A:C,3,FALSE)</f>
        <v>U0000030331</v>
      </c>
      <c r="E89" s="107">
        <v>380</v>
      </c>
      <c r="F89" s="93">
        <f>VLOOKUP(B89,Szarvas!$A$123:$AG$245,33,FALSE)</f>
        <v>15</v>
      </c>
      <c r="G89" s="108">
        <v>460</v>
      </c>
      <c r="H89" s="104">
        <f>VLOOKUP(B89,Szarvas!$A$3:$AG$120,33,FALSE)</f>
        <v>14</v>
      </c>
      <c r="I89" s="108">
        <f>(E89*F89)+(G89*H89)</f>
        <v>12140</v>
      </c>
    </row>
    <row r="90" spans="1:9" s="105" customFormat="1" ht="30" customHeight="1" x14ac:dyDescent="0.25">
      <c r="A90" s="103">
        <v>88</v>
      </c>
      <c r="B90" s="106" t="s">
        <v>437</v>
      </c>
      <c r="C90" s="93" t="str">
        <f>VLOOKUP(B90,Szarvasnévsor!A:C,2,FALSE)</f>
        <v>X2000020</v>
      </c>
      <c r="D90" s="93" t="str">
        <f>VLOOKUP(B90,Szarvasnévsor!A:C,3,FALSE)</f>
        <v>U0000030331</v>
      </c>
      <c r="E90" s="107">
        <v>380</v>
      </c>
      <c r="F90" s="93">
        <f>VLOOKUP(B90,Szarvas!$A$123:$AG$245,33,FALSE)</f>
        <v>5</v>
      </c>
      <c r="G90" s="108">
        <v>460</v>
      </c>
      <c r="H90" s="104">
        <f>VLOOKUP(B90,Szarvas!$A$3:$AG$120,33,FALSE)</f>
        <v>0</v>
      </c>
      <c r="I90" s="108">
        <f>(E90*F90)+(G90*H90)</f>
        <v>1900</v>
      </c>
    </row>
    <row r="91" spans="1:9" s="105" customFormat="1" ht="30" customHeight="1" x14ac:dyDescent="0.25">
      <c r="A91" s="103">
        <v>89</v>
      </c>
      <c r="B91" s="106" t="str">
        <f>Szarvas!A74</f>
        <v>Kozák Krisztián</v>
      </c>
      <c r="C91" s="93" t="str">
        <f>VLOOKUP(B91,Szarvasnévsor!A:C,2,FALSE)</f>
        <v>X8800205</v>
      </c>
      <c r="D91" s="93" t="str">
        <f>VLOOKUP(B91,Szarvasnévsor!A:C,3,FALSE)</f>
        <v>U0000030332</v>
      </c>
      <c r="E91" s="107">
        <v>380</v>
      </c>
      <c r="F91" s="106">
        <f>VLOOKUP(B91,Szarvas!$A$123:$AG$245,33,FALSE)</f>
        <v>5</v>
      </c>
      <c r="G91" s="108">
        <v>460</v>
      </c>
      <c r="H91" s="145">
        <f>VLOOKUP(B91,Szarvas!$A$3:$AG$120,33,FALSE)</f>
        <v>0</v>
      </c>
      <c r="I91" s="108">
        <f t="shared" ref="I91:I97" si="2">(E91*F91)+(G91*H91)</f>
        <v>1900</v>
      </c>
    </row>
    <row r="92" spans="1:9" s="105" customFormat="1" ht="30" customHeight="1" x14ac:dyDescent="0.25">
      <c r="A92" s="103">
        <v>90</v>
      </c>
      <c r="B92" s="93" t="s">
        <v>473</v>
      </c>
      <c r="C92" s="93" t="str">
        <f>VLOOKUP(B92,Szarvasnévsor!A:C,2,FALSE)</f>
        <v>X8800205</v>
      </c>
      <c r="D92" s="93" t="str">
        <f>VLOOKUP(B92,Szarvasnévsor!A:C,3,FALSE)</f>
        <v>U0000030332</v>
      </c>
      <c r="E92" s="107">
        <v>380</v>
      </c>
      <c r="F92" s="106">
        <f>VLOOKUP(B92,Szarvas!$A$123:$AG$245,33,FALSE)</f>
        <v>14</v>
      </c>
      <c r="G92" s="108">
        <v>460</v>
      </c>
      <c r="H92" s="145">
        <f>VLOOKUP(B92,Szarvas!$A$3:$AG$120,33,FALSE)</f>
        <v>0</v>
      </c>
      <c r="I92" s="108">
        <f t="shared" si="2"/>
        <v>5320</v>
      </c>
    </row>
    <row r="93" spans="1:9" s="105" customFormat="1" ht="30" customHeight="1" x14ac:dyDescent="0.25">
      <c r="A93" s="103">
        <v>91</v>
      </c>
      <c r="B93" s="93" t="s">
        <v>451</v>
      </c>
      <c r="C93" s="93" t="str">
        <f>VLOOKUP(B93,Szarvasnévsor!A:C,2,FALSE)</f>
        <v>X8800205</v>
      </c>
      <c r="D93" s="93" t="str">
        <f>VLOOKUP(B93,Szarvasnévsor!A:C,3,FALSE)</f>
        <v>U0000030332</v>
      </c>
      <c r="E93" s="107">
        <v>380</v>
      </c>
      <c r="F93" s="106">
        <f>VLOOKUP(B93,Szarvas!$A$123:$AG$245,33,FALSE)</f>
        <v>5</v>
      </c>
      <c r="G93" s="108">
        <v>460</v>
      </c>
      <c r="H93" s="145">
        <f>VLOOKUP(B93,Szarvas!$A$3:$AG$120,33,FALSE)</f>
        <v>0</v>
      </c>
      <c r="I93" s="108">
        <f t="shared" si="2"/>
        <v>1900</v>
      </c>
    </row>
    <row r="94" spans="1:9" s="105" customFormat="1" ht="30" customHeight="1" x14ac:dyDescent="0.25">
      <c r="A94" s="103">
        <v>92</v>
      </c>
      <c r="B94" s="93" t="s">
        <v>452</v>
      </c>
      <c r="C94" s="93" t="str">
        <f>VLOOKUP(B94,Szarvasnévsor!A:C,2,FALSE)</f>
        <v>X2000020</v>
      </c>
      <c r="D94" s="93" t="str">
        <f>VLOOKUP(B94,Szarvasnévsor!A:C,3,FALSE)</f>
        <v>U0000030331</v>
      </c>
      <c r="E94" s="107">
        <v>380</v>
      </c>
      <c r="F94" s="106">
        <f>VLOOKUP(B94,Szarvas!$A$123:$AG$245,33,FALSE)</f>
        <v>17</v>
      </c>
      <c r="G94" s="108">
        <v>460</v>
      </c>
      <c r="H94" s="145">
        <f>VLOOKUP(B94,Szarvas!$A$3:$AG$120,33,FALSE)</f>
        <v>3</v>
      </c>
      <c r="I94" s="108">
        <f t="shared" si="2"/>
        <v>7840</v>
      </c>
    </row>
    <row r="95" spans="1:9" s="105" customFormat="1" ht="30" customHeight="1" x14ac:dyDescent="0.25">
      <c r="A95" s="103">
        <v>93</v>
      </c>
      <c r="B95" s="168" t="s">
        <v>456</v>
      </c>
      <c r="C95" s="93" t="str">
        <f>VLOOKUP(B95,Szarvasnévsor!A:C,2,FALSE)</f>
        <v>X2000020</v>
      </c>
      <c r="D95" s="93" t="str">
        <f>VLOOKUP(B95,Szarvasnévsor!A:C,3,FALSE)</f>
        <v>U0000030331</v>
      </c>
      <c r="E95" s="107">
        <v>380</v>
      </c>
      <c r="F95" s="106">
        <f>VLOOKUP(B95,Szarvas!$A$123:$AG$245,33,FALSE)</f>
        <v>13</v>
      </c>
      <c r="G95" s="108">
        <v>460</v>
      </c>
      <c r="H95" s="145">
        <f>VLOOKUP(B95,Szarvas!$A$3:$AG$121,33,FALSE)</f>
        <v>0</v>
      </c>
      <c r="I95" s="108">
        <f t="shared" si="2"/>
        <v>4940</v>
      </c>
    </row>
    <row r="96" spans="1:9" s="105" customFormat="1" ht="30" customHeight="1" x14ac:dyDescent="0.25">
      <c r="A96" s="103">
        <v>94</v>
      </c>
      <c r="B96" s="175" t="s">
        <v>459</v>
      </c>
      <c r="C96" s="93" t="str">
        <f>VLOOKUP(B96,Szarvasnévsor!A:C,2,FALSE)</f>
        <v>X2000029</v>
      </c>
      <c r="D96" s="93" t="str">
        <f>VLOOKUP(B96,Szarvasnévsor!A:C,3,FALSE)</f>
        <v>U0000030332</v>
      </c>
      <c r="E96" s="92">
        <v>380</v>
      </c>
      <c r="F96" s="93">
        <f>VLOOKUP(B96,Szarvas!$A$123:$AG$245,33,FALSE)</f>
        <v>15</v>
      </c>
      <c r="G96" s="94">
        <v>460</v>
      </c>
      <c r="H96" s="104">
        <f>VLOOKUP(B96,Szarvas!$A$3:$AG$121,33,FALSE)</f>
        <v>0</v>
      </c>
      <c r="I96" s="94">
        <f t="shared" si="2"/>
        <v>5700</v>
      </c>
    </row>
    <row r="97" spans="1:11" s="105" customFormat="1" ht="30" customHeight="1" x14ac:dyDescent="0.25">
      <c r="A97" s="103">
        <v>95</v>
      </c>
      <c r="B97" s="93" t="s">
        <v>464</v>
      </c>
      <c r="C97" s="93" t="str">
        <f>VLOOKUP(B97,Szarvasnévsor!A:C,2,FALSE)</f>
        <v>X8800205</v>
      </c>
      <c r="D97" s="93" t="str">
        <f>VLOOKUP(B97,Szarvasnévsor!A:C,3,FALSE)</f>
        <v>U0000030332</v>
      </c>
      <c r="E97" s="92">
        <v>380</v>
      </c>
      <c r="F97" s="93">
        <f>VLOOKUP(B97,Szarvas!$A$123:$AG$245,33,FALSE)</f>
        <v>1</v>
      </c>
      <c r="G97" s="94">
        <v>460</v>
      </c>
      <c r="H97" s="104">
        <f>VLOOKUP(B97,Szarvas!$A$3:$AG$121,33,FALSE)</f>
        <v>0</v>
      </c>
      <c r="I97" s="94">
        <f t="shared" si="2"/>
        <v>380</v>
      </c>
    </row>
    <row r="98" spans="1:11" s="105" customFormat="1" ht="30" customHeight="1" x14ac:dyDescent="0.25">
      <c r="A98" s="103">
        <v>96</v>
      </c>
      <c r="B98" s="93" t="s">
        <v>461</v>
      </c>
      <c r="C98" s="93" t="str">
        <f>VLOOKUP(B98,Szarvasnévsor!A:C,2,FALSE)</f>
        <v>X2000020</v>
      </c>
      <c r="D98" s="93" t="str">
        <f>VLOOKUP(B98,Szarvasnévsor!A:C,3,FALSE)</f>
        <v>U0000030331</v>
      </c>
      <c r="E98" s="92">
        <v>380</v>
      </c>
      <c r="F98" s="93">
        <f>VLOOKUP(B98,Szarvas!$A$123:$AG$245,33,FALSE)</f>
        <v>17</v>
      </c>
      <c r="G98" s="94">
        <v>460</v>
      </c>
      <c r="H98" s="104">
        <f>VLOOKUP(B98,Szarvas!$A$3:$AG$121,33,FALSE)</f>
        <v>0</v>
      </c>
      <c r="I98" s="94">
        <f>(E98*F98)+(G98*H98)</f>
        <v>6460</v>
      </c>
    </row>
    <row r="99" spans="1:11" s="105" customFormat="1" ht="30" customHeight="1" x14ac:dyDescent="0.25">
      <c r="A99" s="103">
        <v>97</v>
      </c>
      <c r="B99" s="93" t="s">
        <v>462</v>
      </c>
      <c r="C99" s="93" t="str">
        <f>VLOOKUP(B99,Szarvasnévsor!A:C,2,FALSE)</f>
        <v>X2000020</v>
      </c>
      <c r="D99" s="93" t="str">
        <f>VLOOKUP(B99,Szarvasnévsor!A:C,3,FALSE)</f>
        <v>U0000030331</v>
      </c>
      <c r="E99" s="92">
        <v>380</v>
      </c>
      <c r="F99" s="93">
        <f>VLOOKUP(B99,Szarvas!$A$123:$AG$245,33,FALSE)</f>
        <v>3</v>
      </c>
      <c r="G99" s="94">
        <v>460</v>
      </c>
      <c r="H99" s="104">
        <f>VLOOKUP(B99,Szarvas!$A$3:$AG$121,33,FALSE)</f>
        <v>0</v>
      </c>
      <c r="I99" s="94">
        <f>(E99*F99)+(G99*H99)</f>
        <v>1140</v>
      </c>
    </row>
    <row r="100" spans="1:11" s="105" customFormat="1" ht="30" customHeight="1" x14ac:dyDescent="0.25">
      <c r="A100" s="103">
        <v>98</v>
      </c>
      <c r="B100" s="93" t="s">
        <v>463</v>
      </c>
      <c r="C100" s="93" t="str">
        <f>VLOOKUP(B100,Szarvasnévsor!A:C,2,FALSE)</f>
        <v>X8800205</v>
      </c>
      <c r="D100" s="93" t="str">
        <f>VLOOKUP(B100,Szarvasnévsor!A:C,3,FALSE)</f>
        <v>U0000030332</v>
      </c>
      <c r="E100" s="92">
        <v>380</v>
      </c>
      <c r="F100" s="93">
        <f>VLOOKUP(B100,Szarvas!$A$123:$AG$245,33,FALSE)</f>
        <v>4</v>
      </c>
      <c r="G100" s="94">
        <v>460</v>
      </c>
      <c r="H100" s="104">
        <f>VLOOKUP(B100,Szarvas!$A$3:$AG$121,33,FALSE)</f>
        <v>0</v>
      </c>
      <c r="I100" s="94">
        <f>(E100*F100)+(G100*H100)</f>
        <v>1520</v>
      </c>
    </row>
    <row r="101" spans="1:11" s="105" customFormat="1" ht="30" customHeight="1" x14ac:dyDescent="0.25">
      <c r="A101" s="206" t="s">
        <v>465</v>
      </c>
      <c r="B101" s="205" t="s">
        <v>466</v>
      </c>
      <c r="C101" s="93" t="str">
        <f>VLOOKUP(B101,Szarvasnévsor!A:C,2,FALSE)</f>
        <v>X2000020</v>
      </c>
      <c r="D101" s="93" t="str">
        <f>VLOOKUP(B101,Szarvasnévsor!A:C,3,FALSE)</f>
        <v>U0000030331</v>
      </c>
      <c r="E101" s="92">
        <v>380</v>
      </c>
      <c r="F101" s="93">
        <f>VLOOKUP(B101,Szarvas!$A$123:$AG$245,33,FALSE)</f>
        <v>17</v>
      </c>
      <c r="G101" s="94">
        <v>460</v>
      </c>
      <c r="H101" s="104">
        <f>VLOOKUP(B101,Szarvas!$A$3:$AG$121,33,FALSE)</f>
        <v>0</v>
      </c>
      <c r="I101" s="94">
        <f>(E101*F101)+(G101*H101)</f>
        <v>6460</v>
      </c>
    </row>
    <row r="102" spans="1:11" s="105" customFormat="1" ht="30" customHeight="1" x14ac:dyDescent="0.25">
      <c r="A102" s="245">
        <v>100</v>
      </c>
      <c r="B102" s="168" t="s">
        <v>475</v>
      </c>
      <c r="C102" s="93" t="str">
        <f>VLOOKUP(B102,Szarvasnévsor!A:C,2,FALSE)</f>
        <v>X8800205</v>
      </c>
      <c r="D102" s="93" t="str">
        <f>VLOOKUP(B102,Szarvasnévsor!A:C,3,FALSE)</f>
        <v>U0000030332</v>
      </c>
      <c r="E102" s="92">
        <v>380</v>
      </c>
      <c r="F102" s="93">
        <f>VLOOKUP(B102,Szarvas!$A$123:$AG$245,33,FALSE)</f>
        <v>0</v>
      </c>
      <c r="G102" s="94">
        <v>460</v>
      </c>
      <c r="H102" s="104">
        <f>VLOOKUP(B102,Szarvas!$A$3:$AG$121,33,FALSE)</f>
        <v>0</v>
      </c>
      <c r="I102" s="94">
        <f>(E102*F102)+(G102*H102)</f>
        <v>0</v>
      </c>
    </row>
    <row r="103" spans="1:11" s="105" customFormat="1" ht="30" customHeight="1" thickBot="1" x14ac:dyDescent="0.3">
      <c r="A103" s="146"/>
      <c r="B103" s="147" t="s">
        <v>10</v>
      </c>
      <c r="C103" s="147"/>
      <c r="D103" s="147"/>
      <c r="E103" s="148"/>
      <c r="F103" s="149">
        <f>SUM(F5:F102)</f>
        <v>526</v>
      </c>
      <c r="G103" s="148"/>
      <c r="H103" s="150">
        <f>SUM(H5:H102)</f>
        <v>89</v>
      </c>
      <c r="I103" s="151">
        <f>SUM(I5:I102)</f>
        <v>240820</v>
      </c>
      <c r="J103" s="142"/>
      <c r="K103" s="142"/>
    </row>
    <row r="104" spans="1:11" x14ac:dyDescent="0.25">
      <c r="A104" s="56"/>
      <c r="B104" s="57"/>
      <c r="C104" s="57"/>
      <c r="D104" s="57"/>
      <c r="E104" s="57"/>
      <c r="F104" s="57"/>
      <c r="G104" s="58"/>
      <c r="H104" s="58"/>
    </row>
    <row r="105" spans="1:11" x14ac:dyDescent="0.25">
      <c r="A105" s="56"/>
      <c r="B105" s="57"/>
      <c r="C105" s="57"/>
      <c r="D105" s="57"/>
      <c r="E105" s="57"/>
      <c r="F105" s="57">
        <f>F103+H103</f>
        <v>615</v>
      </c>
      <c r="G105" s="59"/>
      <c r="H105" s="58"/>
    </row>
    <row r="106" spans="1:11" x14ac:dyDescent="0.25">
      <c r="A106" s="58"/>
      <c r="B106" s="57"/>
      <c r="C106" s="57"/>
      <c r="D106" s="57"/>
      <c r="E106" s="57"/>
      <c r="F106" s="57"/>
      <c r="G106" s="58"/>
      <c r="H106" s="58"/>
    </row>
    <row r="107" spans="1:11" ht="15" customHeight="1" x14ac:dyDescent="0.25">
      <c r="A107" s="58"/>
      <c r="B107" s="263" t="s">
        <v>470</v>
      </c>
      <c r="C107" s="263"/>
      <c r="D107" s="263"/>
      <c r="E107" s="263"/>
      <c r="F107" s="263"/>
      <c r="G107" s="263"/>
      <c r="H107" s="264" t="s">
        <v>128</v>
      </c>
      <c r="I107" s="264"/>
    </row>
  </sheetData>
  <mergeCells count="7">
    <mergeCell ref="A1:G1"/>
    <mergeCell ref="A2:G2"/>
    <mergeCell ref="B107:G107"/>
    <mergeCell ref="H107:I107"/>
    <mergeCell ref="E3:F3"/>
    <mergeCell ref="G3:H3"/>
    <mergeCell ref="A3:B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1"/>
  <sheetViews>
    <sheetView workbookViewId="0">
      <pane ySplit="1" topLeftCell="A11" activePane="bottomLeft" state="frozen"/>
      <selection pane="bottomLeft" activeCell="AJ21" sqref="AJ21"/>
    </sheetView>
  </sheetViews>
  <sheetFormatPr defaultRowHeight="15" x14ac:dyDescent="0.25"/>
  <cols>
    <col min="1" max="1" width="37.5703125" style="42" bestFit="1" customWidth="1"/>
    <col min="2" max="32" width="4.42578125" style="42" customWidth="1"/>
    <col min="33" max="33" width="11.7109375" style="42" bestFit="1" customWidth="1"/>
    <col min="34" max="16384" width="9.140625" style="42"/>
  </cols>
  <sheetData>
    <row r="1" spans="1:33" s="41" customFormat="1" ht="19.5" thickBot="1" x14ac:dyDescent="0.35">
      <c r="A1" s="36" t="s">
        <v>190</v>
      </c>
      <c r="B1" s="37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8">
        <v>30</v>
      </c>
      <c r="AF1" s="39">
        <v>31</v>
      </c>
      <c r="AG1" s="40" t="s">
        <v>10</v>
      </c>
    </row>
    <row r="2" spans="1:33" ht="32.25" thickBot="1" x14ac:dyDescent="0.55000000000000004">
      <c r="A2" s="257" t="s">
        <v>188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9"/>
    </row>
    <row r="3" spans="1:33" s="41" customFormat="1" ht="19.5" thickBot="1" x14ac:dyDescent="0.35">
      <c r="A3" s="260" t="s">
        <v>300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2"/>
    </row>
    <row r="4" spans="1:33" ht="27" customHeight="1" thickBot="1" x14ac:dyDescent="0.35">
      <c r="A4" s="129" t="s">
        <v>301</v>
      </c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49">
        <f>SUM(B4:AF4)</f>
        <v>0</v>
      </c>
    </row>
    <row r="5" spans="1:33" ht="27" customHeight="1" thickBot="1" x14ac:dyDescent="0.35">
      <c r="A5" s="30" t="s">
        <v>302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6"/>
      <c r="AG5" s="44">
        <f>SUM(B5:AF5)</f>
        <v>0</v>
      </c>
    </row>
    <row r="6" spans="1:33" ht="27" customHeight="1" thickBot="1" x14ac:dyDescent="0.35">
      <c r="A6" s="46" t="s">
        <v>10</v>
      </c>
      <c r="B6" s="70">
        <f>SUM(B4:B5)</f>
        <v>0</v>
      </c>
      <c r="C6" s="70">
        <f t="shared" ref="C6:AF6" si="0">SUM(C4:C5)</f>
        <v>0</v>
      </c>
      <c r="D6" s="70">
        <f t="shared" si="0"/>
        <v>0</v>
      </c>
      <c r="E6" s="70">
        <f t="shared" si="0"/>
        <v>0</v>
      </c>
      <c r="F6" s="70">
        <f t="shared" si="0"/>
        <v>0</v>
      </c>
      <c r="G6" s="70">
        <f t="shared" si="0"/>
        <v>0</v>
      </c>
      <c r="H6" s="70">
        <f t="shared" si="0"/>
        <v>0</v>
      </c>
      <c r="I6" s="70">
        <f t="shared" si="0"/>
        <v>0</v>
      </c>
      <c r="J6" s="70">
        <f t="shared" si="0"/>
        <v>0</v>
      </c>
      <c r="K6" s="70">
        <f t="shared" si="0"/>
        <v>0</v>
      </c>
      <c r="L6" s="70">
        <f t="shared" si="0"/>
        <v>0</v>
      </c>
      <c r="M6" s="70">
        <f t="shared" si="0"/>
        <v>0</v>
      </c>
      <c r="N6" s="70">
        <f t="shared" si="0"/>
        <v>0</v>
      </c>
      <c r="O6" s="70">
        <f t="shared" si="0"/>
        <v>0</v>
      </c>
      <c r="P6" s="70">
        <f t="shared" si="0"/>
        <v>0</v>
      </c>
      <c r="Q6" s="70">
        <f t="shared" si="0"/>
        <v>0</v>
      </c>
      <c r="R6" s="70">
        <f t="shared" si="0"/>
        <v>0</v>
      </c>
      <c r="S6" s="70">
        <f t="shared" si="0"/>
        <v>0</v>
      </c>
      <c r="T6" s="70">
        <f t="shared" si="0"/>
        <v>0</v>
      </c>
      <c r="U6" s="70">
        <f t="shared" si="0"/>
        <v>0</v>
      </c>
      <c r="V6" s="70">
        <f t="shared" si="0"/>
        <v>0</v>
      </c>
      <c r="W6" s="70">
        <f t="shared" si="0"/>
        <v>0</v>
      </c>
      <c r="X6" s="70">
        <f t="shared" si="0"/>
        <v>0</v>
      </c>
      <c r="Y6" s="70">
        <f t="shared" si="0"/>
        <v>0</v>
      </c>
      <c r="Z6" s="70">
        <f t="shared" si="0"/>
        <v>0</v>
      </c>
      <c r="AA6" s="70">
        <f t="shared" si="0"/>
        <v>0</v>
      </c>
      <c r="AB6" s="70">
        <f t="shared" si="0"/>
        <v>0</v>
      </c>
      <c r="AC6" s="70">
        <f t="shared" si="0"/>
        <v>0</v>
      </c>
      <c r="AD6" s="70">
        <f t="shared" si="0"/>
        <v>0</v>
      </c>
      <c r="AE6" s="70">
        <f t="shared" si="0"/>
        <v>0</v>
      </c>
      <c r="AF6" s="70">
        <f t="shared" si="0"/>
        <v>0</v>
      </c>
      <c r="AG6" s="44">
        <f>SUM(AG4:AG5)</f>
        <v>0</v>
      </c>
    </row>
    <row r="7" spans="1:33" ht="18.95" customHeight="1" thickBot="1" x14ac:dyDescent="0.35">
      <c r="A7" s="283" t="s">
        <v>303</v>
      </c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5"/>
    </row>
    <row r="8" spans="1:33" ht="27" customHeight="1" thickBot="1" x14ac:dyDescent="0.35">
      <c r="A8" s="129" t="s">
        <v>304</v>
      </c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49">
        <f>SUM(B8:AF8)</f>
        <v>0</v>
      </c>
    </row>
    <row r="9" spans="1:33" ht="27" customHeight="1" thickBot="1" x14ac:dyDescent="0.35">
      <c r="A9" s="30" t="s">
        <v>305</v>
      </c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6"/>
      <c r="AG9" s="44">
        <f>SUM(B9:AF9)</f>
        <v>0</v>
      </c>
    </row>
    <row r="10" spans="1:33" ht="27" customHeight="1" thickBot="1" x14ac:dyDescent="0.35">
      <c r="A10" s="46" t="s">
        <v>10</v>
      </c>
      <c r="B10" s="70">
        <f>SUM(B8:B9)</f>
        <v>0</v>
      </c>
      <c r="C10" s="70">
        <f t="shared" ref="C10:AF10" si="1">SUM(C8:C9)</f>
        <v>0</v>
      </c>
      <c r="D10" s="70">
        <f t="shared" si="1"/>
        <v>0</v>
      </c>
      <c r="E10" s="70">
        <f t="shared" si="1"/>
        <v>0</v>
      </c>
      <c r="F10" s="70">
        <f t="shared" si="1"/>
        <v>0</v>
      </c>
      <c r="G10" s="70">
        <f t="shared" si="1"/>
        <v>0</v>
      </c>
      <c r="H10" s="70">
        <f t="shared" si="1"/>
        <v>0</v>
      </c>
      <c r="I10" s="70">
        <f t="shared" si="1"/>
        <v>0</v>
      </c>
      <c r="J10" s="70">
        <f t="shared" si="1"/>
        <v>0</v>
      </c>
      <c r="K10" s="70">
        <f t="shared" si="1"/>
        <v>0</v>
      </c>
      <c r="L10" s="70">
        <f t="shared" si="1"/>
        <v>0</v>
      </c>
      <c r="M10" s="70">
        <f t="shared" si="1"/>
        <v>0</v>
      </c>
      <c r="N10" s="70">
        <f t="shared" si="1"/>
        <v>0</v>
      </c>
      <c r="O10" s="70">
        <f t="shared" si="1"/>
        <v>0</v>
      </c>
      <c r="P10" s="70">
        <f t="shared" si="1"/>
        <v>0</v>
      </c>
      <c r="Q10" s="70">
        <f t="shared" si="1"/>
        <v>0</v>
      </c>
      <c r="R10" s="70">
        <f t="shared" si="1"/>
        <v>0</v>
      </c>
      <c r="S10" s="70">
        <f t="shared" si="1"/>
        <v>0</v>
      </c>
      <c r="T10" s="70">
        <f t="shared" si="1"/>
        <v>0</v>
      </c>
      <c r="U10" s="70">
        <f t="shared" si="1"/>
        <v>0</v>
      </c>
      <c r="V10" s="70">
        <f t="shared" si="1"/>
        <v>0</v>
      </c>
      <c r="W10" s="70">
        <f t="shared" si="1"/>
        <v>0</v>
      </c>
      <c r="X10" s="70">
        <f t="shared" si="1"/>
        <v>0</v>
      </c>
      <c r="Y10" s="70">
        <f t="shared" si="1"/>
        <v>0</v>
      </c>
      <c r="Z10" s="70">
        <f t="shared" si="1"/>
        <v>0</v>
      </c>
      <c r="AA10" s="70">
        <f t="shared" si="1"/>
        <v>0</v>
      </c>
      <c r="AB10" s="70">
        <f t="shared" si="1"/>
        <v>0</v>
      </c>
      <c r="AC10" s="70">
        <f t="shared" si="1"/>
        <v>0</v>
      </c>
      <c r="AD10" s="70">
        <f t="shared" si="1"/>
        <v>0</v>
      </c>
      <c r="AE10" s="70">
        <f t="shared" si="1"/>
        <v>0</v>
      </c>
      <c r="AF10" s="70">
        <f t="shared" si="1"/>
        <v>0</v>
      </c>
      <c r="AG10" s="44">
        <f>SUM(AG8:AG9)</f>
        <v>0</v>
      </c>
    </row>
    <row r="11" spans="1:33" ht="15.75" thickBot="1" x14ac:dyDescent="0.3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</row>
    <row r="12" spans="1:33" ht="32.25" thickBot="1" x14ac:dyDescent="0.55000000000000004">
      <c r="A12" s="286" t="s">
        <v>454</v>
      </c>
      <c r="B12" s="281"/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2"/>
    </row>
    <row r="13" spans="1:33" ht="19.5" thickBot="1" x14ac:dyDescent="0.35">
      <c r="A13" s="287" t="s">
        <v>300</v>
      </c>
      <c r="B13" s="288"/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9"/>
    </row>
    <row r="14" spans="1:33" ht="27" customHeight="1" thickBot="1" x14ac:dyDescent="0.35">
      <c r="A14" s="129" t="s">
        <v>301</v>
      </c>
      <c r="B14" s="186"/>
      <c r="C14" s="17"/>
      <c r="D14" s="17"/>
      <c r="E14" s="17"/>
      <c r="F14" s="17"/>
      <c r="G14" s="17"/>
      <c r="H14" s="17"/>
      <c r="I14" s="193"/>
      <c r="J14" s="17"/>
      <c r="K14" s="17"/>
      <c r="L14" s="17"/>
      <c r="M14" s="17"/>
      <c r="N14" s="17"/>
      <c r="O14" s="17"/>
      <c r="P14" s="193"/>
      <c r="Q14" s="17"/>
      <c r="R14" s="17"/>
      <c r="S14" s="17"/>
      <c r="T14" s="17"/>
      <c r="U14" s="17"/>
      <c r="V14" s="193"/>
      <c r="W14" s="193"/>
      <c r="X14" s="17"/>
      <c r="Y14" s="193"/>
      <c r="Z14" s="193"/>
      <c r="AA14" s="193"/>
      <c r="AB14" s="193"/>
      <c r="AC14" s="193"/>
      <c r="AD14" s="193"/>
      <c r="AE14" s="17"/>
      <c r="AF14" s="18"/>
      <c r="AG14" s="49">
        <f>SUM(B14:AF14)</f>
        <v>0</v>
      </c>
    </row>
    <row r="15" spans="1:33" ht="27" customHeight="1" thickBot="1" x14ac:dyDescent="0.35">
      <c r="A15" s="30" t="s">
        <v>302</v>
      </c>
      <c r="B15" s="187"/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189"/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189"/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189"/>
      <c r="W15" s="189"/>
      <c r="X15" s="5">
        <v>1</v>
      </c>
      <c r="Y15" s="189"/>
      <c r="Z15" s="189"/>
      <c r="AA15" s="189"/>
      <c r="AB15" s="189"/>
      <c r="AC15" s="189"/>
      <c r="AD15" s="189"/>
      <c r="AE15" s="5">
        <v>1</v>
      </c>
      <c r="AF15" s="6">
        <v>1</v>
      </c>
      <c r="AG15" s="44">
        <f>SUM(B15:AF15)</f>
        <v>20</v>
      </c>
    </row>
    <row r="16" spans="1:33" ht="27" customHeight="1" thickBot="1" x14ac:dyDescent="0.35">
      <c r="A16" s="46" t="s">
        <v>10</v>
      </c>
      <c r="B16" s="70">
        <f>SUM(B14:B15)</f>
        <v>0</v>
      </c>
      <c r="C16" s="70">
        <f t="shared" ref="C16:AF16" si="2">SUM(C14:C15)</f>
        <v>1</v>
      </c>
      <c r="D16" s="70">
        <f t="shared" si="2"/>
        <v>1</v>
      </c>
      <c r="E16" s="70">
        <f t="shared" si="2"/>
        <v>1</v>
      </c>
      <c r="F16" s="70">
        <f t="shared" si="2"/>
        <v>1</v>
      </c>
      <c r="G16" s="70">
        <f t="shared" si="2"/>
        <v>1</v>
      </c>
      <c r="H16" s="70">
        <f t="shared" si="2"/>
        <v>1</v>
      </c>
      <c r="I16" s="70">
        <f t="shared" si="2"/>
        <v>0</v>
      </c>
      <c r="J16" s="70">
        <f t="shared" si="2"/>
        <v>1</v>
      </c>
      <c r="K16" s="70">
        <f t="shared" si="2"/>
        <v>1</v>
      </c>
      <c r="L16" s="70">
        <f t="shared" si="2"/>
        <v>1</v>
      </c>
      <c r="M16" s="70">
        <f t="shared" si="2"/>
        <v>1</v>
      </c>
      <c r="N16" s="70">
        <f t="shared" si="2"/>
        <v>1</v>
      </c>
      <c r="O16" s="70"/>
      <c r="P16" s="70">
        <f t="shared" si="2"/>
        <v>0</v>
      </c>
      <c r="Q16" s="70">
        <f t="shared" si="2"/>
        <v>1</v>
      </c>
      <c r="R16" s="70">
        <f t="shared" si="2"/>
        <v>1</v>
      </c>
      <c r="S16" s="70">
        <f t="shared" si="2"/>
        <v>1</v>
      </c>
      <c r="T16" s="70">
        <f t="shared" si="2"/>
        <v>1</v>
      </c>
      <c r="U16" s="70">
        <f t="shared" si="2"/>
        <v>1</v>
      </c>
      <c r="V16" s="70">
        <f t="shared" si="2"/>
        <v>0</v>
      </c>
      <c r="W16" s="70">
        <f t="shared" si="2"/>
        <v>0</v>
      </c>
      <c r="X16" s="70">
        <f t="shared" si="2"/>
        <v>1</v>
      </c>
      <c r="Y16" s="70">
        <f t="shared" si="2"/>
        <v>0</v>
      </c>
      <c r="Z16" s="70">
        <f t="shared" si="2"/>
        <v>0</v>
      </c>
      <c r="AA16" s="70">
        <f t="shared" si="2"/>
        <v>0</v>
      </c>
      <c r="AB16" s="70">
        <f t="shared" si="2"/>
        <v>0</v>
      </c>
      <c r="AC16" s="70">
        <f t="shared" si="2"/>
        <v>0</v>
      </c>
      <c r="AD16" s="70">
        <f t="shared" si="2"/>
        <v>0</v>
      </c>
      <c r="AE16" s="70">
        <f t="shared" si="2"/>
        <v>1</v>
      </c>
      <c r="AF16" s="70">
        <f t="shared" si="2"/>
        <v>1</v>
      </c>
      <c r="AG16" s="44">
        <f>SUM(AG14:AG15)</f>
        <v>20</v>
      </c>
    </row>
    <row r="17" spans="1:33" ht="18.95" customHeight="1" thickBot="1" x14ac:dyDescent="0.35">
      <c r="A17" s="283" t="s">
        <v>303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5"/>
    </row>
    <row r="18" spans="1:33" ht="27" customHeight="1" thickBot="1" x14ac:dyDescent="0.35">
      <c r="A18" s="129" t="s">
        <v>304</v>
      </c>
      <c r="B18" s="186"/>
      <c r="C18" s="17"/>
      <c r="D18" s="17"/>
      <c r="E18" s="17"/>
      <c r="F18" s="17"/>
      <c r="G18" s="17"/>
      <c r="H18" s="17"/>
      <c r="I18" s="193"/>
      <c r="J18" s="17"/>
      <c r="K18" s="17"/>
      <c r="L18" s="17"/>
      <c r="M18" s="17"/>
      <c r="N18" s="17"/>
      <c r="O18" s="17"/>
      <c r="P18" s="193"/>
      <c r="Q18" s="17"/>
      <c r="R18" s="17"/>
      <c r="S18" s="17"/>
      <c r="T18" s="17"/>
      <c r="U18" s="17"/>
      <c r="V18" s="193"/>
      <c r="W18" s="193"/>
      <c r="X18" s="17"/>
      <c r="Y18" s="193"/>
      <c r="Z18" s="193"/>
      <c r="AA18" s="193"/>
      <c r="AB18" s="193"/>
      <c r="AC18" s="193"/>
      <c r="AD18" s="193"/>
      <c r="AE18" s="17"/>
      <c r="AF18" s="18"/>
      <c r="AG18" s="49">
        <f>SUM(B18:AF18)</f>
        <v>0</v>
      </c>
    </row>
    <row r="19" spans="1:33" ht="27" customHeight="1" thickBot="1" x14ac:dyDescent="0.35">
      <c r="A19" s="30" t="s">
        <v>305</v>
      </c>
      <c r="B19" s="187"/>
      <c r="C19" s="5"/>
      <c r="D19" s="5"/>
      <c r="E19" s="5"/>
      <c r="F19" s="5"/>
      <c r="G19" s="5"/>
      <c r="H19" s="5"/>
      <c r="I19" s="189"/>
      <c r="J19" s="5"/>
      <c r="K19" s="5"/>
      <c r="L19" s="5"/>
      <c r="M19" s="5"/>
      <c r="N19" s="5"/>
      <c r="O19" s="5"/>
      <c r="P19" s="189"/>
      <c r="Q19" s="5"/>
      <c r="R19" s="5"/>
      <c r="S19" s="5"/>
      <c r="T19" s="5"/>
      <c r="U19" s="5"/>
      <c r="V19" s="189"/>
      <c r="W19" s="189"/>
      <c r="X19" s="5"/>
      <c r="Y19" s="189"/>
      <c r="Z19" s="189"/>
      <c r="AA19" s="189"/>
      <c r="AB19" s="189"/>
      <c r="AC19" s="189"/>
      <c r="AD19" s="189"/>
      <c r="AE19" s="5"/>
      <c r="AF19" s="6"/>
      <c r="AG19" s="44">
        <f>SUM(B19:AF19)</f>
        <v>0</v>
      </c>
    </row>
    <row r="20" spans="1:33" ht="27" customHeight="1" thickBot="1" x14ac:dyDescent="0.35">
      <c r="A20" s="46" t="s">
        <v>10</v>
      </c>
      <c r="B20" s="199">
        <f>SUM(B18:B19)</f>
        <v>0</v>
      </c>
      <c r="C20" s="199">
        <f t="shared" ref="C20:AF20" si="3">SUM(C18:C19)</f>
        <v>0</v>
      </c>
      <c r="D20" s="199">
        <f t="shared" si="3"/>
        <v>0</v>
      </c>
      <c r="E20" s="199">
        <f t="shared" si="3"/>
        <v>0</v>
      </c>
      <c r="F20" s="199">
        <f t="shared" si="3"/>
        <v>0</v>
      </c>
      <c r="G20" s="199">
        <f t="shared" si="3"/>
        <v>0</v>
      </c>
      <c r="H20" s="199">
        <f t="shared" si="3"/>
        <v>0</v>
      </c>
      <c r="I20" s="199">
        <f t="shared" si="3"/>
        <v>0</v>
      </c>
      <c r="J20" s="199">
        <f t="shared" si="3"/>
        <v>0</v>
      </c>
      <c r="K20" s="199">
        <f t="shared" si="3"/>
        <v>0</v>
      </c>
      <c r="L20" s="199">
        <f t="shared" si="3"/>
        <v>0</v>
      </c>
      <c r="M20" s="199">
        <f t="shared" si="3"/>
        <v>0</v>
      </c>
      <c r="N20" s="199">
        <f t="shared" si="3"/>
        <v>0</v>
      </c>
      <c r="O20" s="199">
        <f t="shared" si="3"/>
        <v>0</v>
      </c>
      <c r="P20" s="199">
        <f t="shared" si="3"/>
        <v>0</v>
      </c>
      <c r="Q20" s="199">
        <f t="shared" si="3"/>
        <v>0</v>
      </c>
      <c r="R20" s="199">
        <f t="shared" si="3"/>
        <v>0</v>
      </c>
      <c r="S20" s="199">
        <f t="shared" si="3"/>
        <v>0</v>
      </c>
      <c r="T20" s="199">
        <f t="shared" si="3"/>
        <v>0</v>
      </c>
      <c r="U20" s="199">
        <f t="shared" si="3"/>
        <v>0</v>
      </c>
      <c r="V20" s="199">
        <f t="shared" si="3"/>
        <v>0</v>
      </c>
      <c r="W20" s="199">
        <f t="shared" si="3"/>
        <v>0</v>
      </c>
      <c r="X20" s="199">
        <f t="shared" si="3"/>
        <v>0</v>
      </c>
      <c r="Y20" s="199">
        <f t="shared" si="3"/>
        <v>0</v>
      </c>
      <c r="Z20" s="199">
        <f t="shared" si="3"/>
        <v>0</v>
      </c>
      <c r="AA20" s="199">
        <f t="shared" si="3"/>
        <v>0</v>
      </c>
      <c r="AB20" s="199">
        <f t="shared" si="3"/>
        <v>0</v>
      </c>
      <c r="AC20" s="199">
        <f t="shared" si="3"/>
        <v>0</v>
      </c>
      <c r="AD20" s="199">
        <f t="shared" si="3"/>
        <v>0</v>
      </c>
      <c r="AE20" s="199">
        <f t="shared" si="3"/>
        <v>0</v>
      </c>
      <c r="AF20" s="199">
        <f t="shared" si="3"/>
        <v>0</v>
      </c>
      <c r="AG20" s="44">
        <f>SUM(AG18:AG19)</f>
        <v>0</v>
      </c>
    </row>
    <row r="21" spans="1:33" ht="27" customHeight="1" thickBot="1" x14ac:dyDescent="0.3">
      <c r="A21" s="46" t="s">
        <v>186</v>
      </c>
      <c r="B21" s="200">
        <f>SUM(B4:B5)+SUM(B8:B9)+SUM(B14:B15)+SUM(B18:B19)</f>
        <v>0</v>
      </c>
      <c r="C21" s="200">
        <f t="shared" ref="C21:AF21" si="4">SUM(C4:C5)+SUM(C8:C9)+SUM(C14:C15)+SUM(C18:C19)</f>
        <v>1</v>
      </c>
      <c r="D21" s="200">
        <f t="shared" si="4"/>
        <v>1</v>
      </c>
      <c r="E21" s="200">
        <f t="shared" si="4"/>
        <v>1</v>
      </c>
      <c r="F21" s="200">
        <f t="shared" si="4"/>
        <v>1</v>
      </c>
      <c r="G21" s="200">
        <f t="shared" si="4"/>
        <v>1</v>
      </c>
      <c r="H21" s="200">
        <f t="shared" si="4"/>
        <v>1</v>
      </c>
      <c r="I21" s="200">
        <f t="shared" si="4"/>
        <v>0</v>
      </c>
      <c r="J21" s="200">
        <f t="shared" si="4"/>
        <v>1</v>
      </c>
      <c r="K21" s="200">
        <f t="shared" si="4"/>
        <v>1</v>
      </c>
      <c r="L21" s="200">
        <f t="shared" si="4"/>
        <v>1</v>
      </c>
      <c r="M21" s="200">
        <f t="shared" si="4"/>
        <v>1</v>
      </c>
      <c r="N21" s="200">
        <f t="shared" si="4"/>
        <v>1</v>
      </c>
      <c r="O21" s="200">
        <f t="shared" si="4"/>
        <v>1</v>
      </c>
      <c r="P21" s="200">
        <f t="shared" si="4"/>
        <v>0</v>
      </c>
      <c r="Q21" s="200">
        <f t="shared" si="4"/>
        <v>1</v>
      </c>
      <c r="R21" s="200">
        <f t="shared" si="4"/>
        <v>1</v>
      </c>
      <c r="S21" s="200">
        <f t="shared" si="4"/>
        <v>1</v>
      </c>
      <c r="T21" s="200">
        <f t="shared" si="4"/>
        <v>1</v>
      </c>
      <c r="U21" s="200">
        <f t="shared" si="4"/>
        <v>1</v>
      </c>
      <c r="V21" s="200">
        <f t="shared" si="4"/>
        <v>0</v>
      </c>
      <c r="W21" s="200">
        <f t="shared" si="4"/>
        <v>0</v>
      </c>
      <c r="X21" s="200">
        <f t="shared" si="4"/>
        <v>1</v>
      </c>
      <c r="Y21" s="200">
        <f t="shared" si="4"/>
        <v>0</v>
      </c>
      <c r="Z21" s="200">
        <f t="shared" si="4"/>
        <v>0</v>
      </c>
      <c r="AA21" s="200">
        <f t="shared" si="4"/>
        <v>0</v>
      </c>
      <c r="AB21" s="200">
        <f t="shared" si="4"/>
        <v>0</v>
      </c>
      <c r="AC21" s="200">
        <f t="shared" si="4"/>
        <v>0</v>
      </c>
      <c r="AD21" s="200">
        <f t="shared" si="4"/>
        <v>0</v>
      </c>
      <c r="AE21" s="200">
        <f t="shared" si="4"/>
        <v>1</v>
      </c>
      <c r="AF21" s="200">
        <f t="shared" si="4"/>
        <v>1</v>
      </c>
      <c r="AG21" s="174">
        <f>AG20+AG16+AG10+AG6</f>
        <v>20</v>
      </c>
    </row>
  </sheetData>
  <sheetProtection formatCells="0" formatColumns="0"/>
  <mergeCells count="6">
    <mergeCell ref="A17:AG17"/>
    <mergeCell ref="A2:AG2"/>
    <mergeCell ref="A3:AG3"/>
    <mergeCell ref="A12:AG12"/>
    <mergeCell ref="A13:AG13"/>
    <mergeCell ref="A7:AG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workbookViewId="0">
      <selection sqref="A1:I14"/>
    </sheetView>
  </sheetViews>
  <sheetFormatPr defaultRowHeight="15" x14ac:dyDescent="0.25"/>
  <cols>
    <col min="1" max="1" width="4.140625" style="42" bestFit="1" customWidth="1"/>
    <col min="2" max="2" width="24.85546875" style="42" customWidth="1"/>
    <col min="3" max="3" width="12.5703125" style="42" customWidth="1"/>
    <col min="4" max="4" width="16.7109375" style="42" customWidth="1"/>
    <col min="5" max="5" width="10.28515625" style="42" customWidth="1"/>
    <col min="6" max="6" width="11.140625" style="42" customWidth="1"/>
    <col min="7" max="7" width="10.28515625" style="42" customWidth="1"/>
    <col min="8" max="8" width="11.85546875" style="42" customWidth="1"/>
    <col min="9" max="9" width="16.42578125" style="42" customWidth="1"/>
    <col min="10" max="16384" width="9.140625" style="42"/>
  </cols>
  <sheetData>
    <row r="1" spans="1:9" ht="39" customHeight="1" x14ac:dyDescent="0.25">
      <c r="A1" s="265" t="s">
        <v>82</v>
      </c>
      <c r="B1" s="266"/>
      <c r="C1" s="266"/>
      <c r="D1" s="266"/>
      <c r="E1" s="266"/>
      <c r="F1" s="266"/>
      <c r="G1" s="267"/>
      <c r="H1" s="51" t="s">
        <v>83</v>
      </c>
      <c r="I1" s="22" t="s">
        <v>469</v>
      </c>
    </row>
    <row r="2" spans="1:9" ht="25.5" x14ac:dyDescent="0.25">
      <c r="A2" s="268" t="s">
        <v>84</v>
      </c>
      <c r="B2" s="269"/>
      <c r="C2" s="269"/>
      <c r="D2" s="269"/>
      <c r="E2" s="269"/>
      <c r="F2" s="269"/>
      <c r="G2" s="270"/>
      <c r="H2" s="52" t="s">
        <v>37</v>
      </c>
      <c r="I2" s="52"/>
    </row>
    <row r="3" spans="1:9" ht="31.5" customHeight="1" x14ac:dyDescent="0.25">
      <c r="A3" s="271" t="s">
        <v>85</v>
      </c>
      <c r="B3" s="272"/>
      <c r="C3" s="71"/>
      <c r="D3" s="71"/>
      <c r="E3" s="271" t="s">
        <v>183</v>
      </c>
      <c r="F3" s="272"/>
      <c r="G3" s="271" t="s">
        <v>182</v>
      </c>
      <c r="H3" s="272"/>
      <c r="I3" s="52"/>
    </row>
    <row r="4" spans="1:9" ht="45" x14ac:dyDescent="0.25">
      <c r="A4" s="116" t="s">
        <v>133</v>
      </c>
      <c r="B4" s="87" t="s">
        <v>86</v>
      </c>
      <c r="C4" s="87" t="s">
        <v>369</v>
      </c>
      <c r="D4" s="87" t="s">
        <v>368</v>
      </c>
      <c r="E4" s="87" t="s">
        <v>129</v>
      </c>
      <c r="F4" s="87" t="s">
        <v>131</v>
      </c>
      <c r="G4" s="87" t="s">
        <v>130</v>
      </c>
      <c r="H4" s="117" t="s">
        <v>87</v>
      </c>
      <c r="I4" s="87" t="s">
        <v>132</v>
      </c>
    </row>
    <row r="5" spans="1:9" s="89" customFormat="1" ht="30" customHeight="1" x14ac:dyDescent="0.25">
      <c r="A5" s="103" t="s">
        <v>88</v>
      </c>
      <c r="B5" s="93" t="str">
        <f>Középhalom!A4</f>
        <v>Kozma Tibor</v>
      </c>
      <c r="C5" s="93" t="str">
        <f>VLOOKUP(B5,többinévsor!$A$2:$C$27,2,FALSE)</f>
        <v>X2000032</v>
      </c>
      <c r="D5" s="93" t="str">
        <f>VLOOKUP(B5,többinévsor!$A$2:$C$27,3,FALSE)</f>
        <v>U0000030303</v>
      </c>
      <c r="E5" s="92">
        <v>380</v>
      </c>
      <c r="F5" s="93">
        <f>Középhalom!AG14</f>
        <v>0</v>
      </c>
      <c r="G5" s="94">
        <v>460</v>
      </c>
      <c r="H5" s="104">
        <f>Középhalom!AG4</f>
        <v>0</v>
      </c>
      <c r="I5" s="94">
        <f>(E5*F5)+(G5*H5)</f>
        <v>0</v>
      </c>
    </row>
    <row r="6" spans="1:9" s="89" customFormat="1" ht="30" customHeight="1" x14ac:dyDescent="0.25">
      <c r="A6" s="103" t="s">
        <v>89</v>
      </c>
      <c r="B6" s="93" t="str">
        <f>Középhalom!A5</f>
        <v>Pásztor Mátyás</v>
      </c>
      <c r="C6" s="93" t="str">
        <f>VLOOKUP(B6,többinévsor!$A$2:$C$27,2,FALSE)</f>
        <v>X2000032</v>
      </c>
      <c r="D6" s="93" t="str">
        <f>VLOOKUP(B6,többinévsor!$A$2:$C$27,3,FALSE)</f>
        <v>U0000030303</v>
      </c>
      <c r="E6" s="92">
        <v>380</v>
      </c>
      <c r="F6" s="93">
        <f>Középhalom!AG15</f>
        <v>20</v>
      </c>
      <c r="G6" s="94">
        <v>460</v>
      </c>
      <c r="H6" s="104">
        <f>Középhalom!AG5</f>
        <v>0</v>
      </c>
      <c r="I6" s="94">
        <f>(E6*F6)+(G6*H6)</f>
        <v>7600</v>
      </c>
    </row>
    <row r="7" spans="1:9" s="89" customFormat="1" ht="30" customHeight="1" x14ac:dyDescent="0.25">
      <c r="A7" s="103" t="s">
        <v>90</v>
      </c>
      <c r="B7" s="93" t="str">
        <f>Középhalom!A8</f>
        <v>Schuszter Zoltánné</v>
      </c>
      <c r="C7" s="93" t="str">
        <f>VLOOKUP(B7,többinévsor!$A$2:$C$27,2,FALSE)</f>
        <v>X2000006</v>
      </c>
      <c r="D7" s="93" t="str">
        <f>VLOOKUP(B7,többinévsor!$A$2:$C$27,3,FALSE)</f>
        <v>U0000030303</v>
      </c>
      <c r="E7" s="92">
        <v>380</v>
      </c>
      <c r="F7" s="93">
        <f>Középhalom!AG18</f>
        <v>0</v>
      </c>
      <c r="G7" s="94">
        <v>460</v>
      </c>
      <c r="H7" s="104">
        <f>Középhalom!AG8</f>
        <v>0</v>
      </c>
      <c r="I7" s="94">
        <f>(E7*F7)+(G7*H7)</f>
        <v>0</v>
      </c>
    </row>
    <row r="8" spans="1:9" s="89" customFormat="1" ht="30" customHeight="1" thickBot="1" x14ac:dyDescent="0.3">
      <c r="A8" s="103" t="s">
        <v>91</v>
      </c>
      <c r="B8" s="93" t="str">
        <f>Középhalom!A9</f>
        <v>Vrbovszkiné Prasz Mária</v>
      </c>
      <c r="C8" s="93" t="str">
        <f>VLOOKUP(B8,többinévsor!$A$2:$C$27,2,FALSE)</f>
        <v>X2000006</v>
      </c>
      <c r="D8" s="93" t="str">
        <f>VLOOKUP(B8,többinévsor!$A$2:$C$27,3,FALSE)</f>
        <v>U0000030303</v>
      </c>
      <c r="E8" s="92">
        <v>380</v>
      </c>
      <c r="F8" s="93">
        <f>Középhalom!AG19</f>
        <v>0</v>
      </c>
      <c r="G8" s="94">
        <v>460</v>
      </c>
      <c r="H8" s="104">
        <f>Középhalom!AG9</f>
        <v>0</v>
      </c>
      <c r="I8" s="94">
        <f>(E8*F8)+(G8*H8)</f>
        <v>0</v>
      </c>
    </row>
    <row r="9" spans="1:9" s="89" customFormat="1" ht="30" customHeight="1" thickBot="1" x14ac:dyDescent="0.3">
      <c r="A9" s="109"/>
      <c r="B9" s="110" t="s">
        <v>10</v>
      </c>
      <c r="C9" s="110"/>
      <c r="D9" s="110"/>
      <c r="E9" s="111"/>
      <c r="F9" s="115">
        <f>SUM(F5:F8)</f>
        <v>20</v>
      </c>
      <c r="G9" s="111"/>
      <c r="H9" s="113">
        <f>SUM(H5:H8)</f>
        <v>0</v>
      </c>
      <c r="I9" s="114">
        <f>SUM(I5:I8)</f>
        <v>7600</v>
      </c>
    </row>
    <row r="10" spans="1:9" x14ac:dyDescent="0.25">
      <c r="A10" s="56"/>
      <c r="B10" s="57"/>
      <c r="C10" s="57"/>
      <c r="D10" s="57"/>
      <c r="E10" s="57"/>
      <c r="F10" s="57"/>
      <c r="G10" s="58"/>
      <c r="H10" s="58"/>
    </row>
    <row r="11" spans="1:9" x14ac:dyDescent="0.25">
      <c r="A11" s="56"/>
      <c r="B11" s="57"/>
      <c r="C11" s="57"/>
      <c r="D11" s="57"/>
      <c r="E11" s="57"/>
      <c r="F11" s="57"/>
      <c r="G11" s="59"/>
      <c r="H11" s="58"/>
    </row>
    <row r="12" spans="1:9" x14ac:dyDescent="0.25">
      <c r="A12" s="58"/>
      <c r="B12" s="57"/>
      <c r="C12" s="57"/>
      <c r="D12" s="57"/>
      <c r="E12" s="57"/>
      <c r="F12" s="57"/>
      <c r="G12" s="58"/>
      <c r="H12" s="58"/>
    </row>
    <row r="13" spans="1:9" ht="15" customHeight="1" x14ac:dyDescent="0.25">
      <c r="A13" s="58"/>
      <c r="B13" s="263" t="s">
        <v>470</v>
      </c>
      <c r="C13" s="263"/>
      <c r="D13" s="263"/>
      <c r="E13" s="263"/>
      <c r="F13" s="263"/>
      <c r="G13" s="263"/>
      <c r="H13" s="264" t="s">
        <v>128</v>
      </c>
      <c r="I13" s="264"/>
    </row>
  </sheetData>
  <mergeCells count="7">
    <mergeCell ref="B13:G13"/>
    <mergeCell ref="H13:I13"/>
    <mergeCell ref="A1:G1"/>
    <mergeCell ref="A2:G2"/>
    <mergeCell ref="A3:B3"/>
    <mergeCell ref="E3:F3"/>
    <mergeCell ref="G3:H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7"/>
  <sheetViews>
    <sheetView workbookViewId="0">
      <pane ySplit="1" topLeftCell="A2" activePane="bottomLeft" state="frozen"/>
      <selection pane="bottomLeft" activeCell="V18" sqref="V18"/>
    </sheetView>
  </sheetViews>
  <sheetFormatPr defaultRowHeight="15" x14ac:dyDescent="0.25"/>
  <cols>
    <col min="1" max="1" width="37.5703125" style="42" bestFit="1" customWidth="1"/>
    <col min="2" max="32" width="4.42578125" style="42" customWidth="1"/>
    <col min="33" max="33" width="11.7109375" style="42" bestFit="1" customWidth="1"/>
    <col min="34" max="16384" width="9.140625" style="42"/>
  </cols>
  <sheetData>
    <row r="1" spans="1:33" s="41" customFormat="1" ht="19.5" thickBot="1" x14ac:dyDescent="0.35">
      <c r="A1" s="36" t="s">
        <v>190</v>
      </c>
      <c r="B1" s="37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8">
        <v>30</v>
      </c>
      <c r="AF1" s="39">
        <v>31</v>
      </c>
      <c r="AG1" s="40" t="s">
        <v>10</v>
      </c>
    </row>
    <row r="2" spans="1:33" ht="32.25" thickBot="1" x14ac:dyDescent="0.55000000000000004">
      <c r="A2" s="257" t="s">
        <v>188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9"/>
    </row>
    <row r="3" spans="1:33" s="41" customFormat="1" ht="19.5" thickBot="1" x14ac:dyDescent="0.35">
      <c r="A3" s="260" t="s">
        <v>311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2"/>
    </row>
    <row r="4" spans="1:33" ht="27" customHeight="1" thickBot="1" x14ac:dyDescent="0.35">
      <c r="A4" s="129" t="s">
        <v>298</v>
      </c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49">
        <f>SUM(B4:AF4)</f>
        <v>0</v>
      </c>
    </row>
    <row r="5" spans="1:33" ht="27" customHeight="1" thickBot="1" x14ac:dyDescent="0.35">
      <c r="A5" s="30" t="s">
        <v>299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6"/>
      <c r="AG5" s="44">
        <f>SUM(B5:AF5)</f>
        <v>0</v>
      </c>
    </row>
    <row r="6" spans="1:33" ht="27" customHeight="1" thickBot="1" x14ac:dyDescent="0.35">
      <c r="A6" s="46" t="s">
        <v>10</v>
      </c>
      <c r="B6" s="70">
        <f>SUM(B4:B5)</f>
        <v>0</v>
      </c>
      <c r="C6" s="70">
        <f t="shared" ref="C6:AF6" si="0">SUM(C4:C5)</f>
        <v>0</v>
      </c>
      <c r="D6" s="70">
        <f t="shared" si="0"/>
        <v>0</v>
      </c>
      <c r="E6" s="70">
        <f t="shared" si="0"/>
        <v>0</v>
      </c>
      <c r="F6" s="70">
        <f t="shared" si="0"/>
        <v>0</v>
      </c>
      <c r="G6" s="70">
        <f t="shared" si="0"/>
        <v>0</v>
      </c>
      <c r="H6" s="70">
        <f t="shared" si="0"/>
        <v>0</v>
      </c>
      <c r="I6" s="70">
        <f t="shared" si="0"/>
        <v>0</v>
      </c>
      <c r="J6" s="70">
        <f t="shared" si="0"/>
        <v>0</v>
      </c>
      <c r="K6" s="70">
        <f t="shared" si="0"/>
        <v>0</v>
      </c>
      <c r="L6" s="70">
        <f t="shared" si="0"/>
        <v>0</v>
      </c>
      <c r="M6" s="70">
        <f t="shared" si="0"/>
        <v>0</v>
      </c>
      <c r="N6" s="70">
        <f t="shared" si="0"/>
        <v>0</v>
      </c>
      <c r="O6" s="70">
        <f t="shared" si="0"/>
        <v>0</v>
      </c>
      <c r="P6" s="70">
        <f t="shared" si="0"/>
        <v>0</v>
      </c>
      <c r="Q6" s="70">
        <f t="shared" si="0"/>
        <v>0</v>
      </c>
      <c r="R6" s="70">
        <f t="shared" si="0"/>
        <v>0</v>
      </c>
      <c r="S6" s="70">
        <f t="shared" si="0"/>
        <v>0</v>
      </c>
      <c r="T6" s="70">
        <f t="shared" si="0"/>
        <v>0</v>
      </c>
      <c r="U6" s="70">
        <f t="shared" si="0"/>
        <v>0</v>
      </c>
      <c r="V6" s="70">
        <f t="shared" si="0"/>
        <v>0</v>
      </c>
      <c r="W6" s="70">
        <f t="shared" si="0"/>
        <v>0</v>
      </c>
      <c r="X6" s="70">
        <f t="shared" si="0"/>
        <v>0</v>
      </c>
      <c r="Y6" s="70">
        <f t="shared" si="0"/>
        <v>0</v>
      </c>
      <c r="Z6" s="70">
        <f t="shared" si="0"/>
        <v>0</v>
      </c>
      <c r="AA6" s="70">
        <f t="shared" si="0"/>
        <v>0</v>
      </c>
      <c r="AB6" s="70">
        <f t="shared" si="0"/>
        <v>0</v>
      </c>
      <c r="AC6" s="70">
        <f t="shared" si="0"/>
        <v>0</v>
      </c>
      <c r="AD6" s="70">
        <f t="shared" si="0"/>
        <v>0</v>
      </c>
      <c r="AE6" s="70">
        <f t="shared" si="0"/>
        <v>0</v>
      </c>
      <c r="AF6" s="70">
        <f t="shared" si="0"/>
        <v>0</v>
      </c>
      <c r="AG6" s="44">
        <f>SUM(AG4:AG5)</f>
        <v>0</v>
      </c>
    </row>
    <row r="7" spans="1:33" ht="32.25" thickBot="1" x14ac:dyDescent="0.55000000000000004">
      <c r="A7" s="286" t="s">
        <v>189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2"/>
    </row>
    <row r="8" spans="1:33" ht="19.5" thickBot="1" x14ac:dyDescent="0.35">
      <c r="A8" s="283" t="s">
        <v>311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5"/>
    </row>
    <row r="9" spans="1:33" ht="27" customHeight="1" thickBot="1" x14ac:dyDescent="0.35">
      <c r="A9" s="27" t="str">
        <f>A4</f>
        <v>Megyik Attila</v>
      </c>
      <c r="B9" s="186"/>
      <c r="C9" s="17">
        <v>1</v>
      </c>
      <c r="D9" s="17">
        <v>1</v>
      </c>
      <c r="E9" s="17">
        <v>1</v>
      </c>
      <c r="F9" s="17"/>
      <c r="G9" s="17">
        <v>1</v>
      </c>
      <c r="H9" s="17">
        <v>1</v>
      </c>
      <c r="I9" s="193"/>
      <c r="J9" s="17"/>
      <c r="K9" s="17">
        <v>1</v>
      </c>
      <c r="L9" s="17">
        <v>1</v>
      </c>
      <c r="M9" s="17">
        <v>1</v>
      </c>
      <c r="N9" s="17">
        <v>1</v>
      </c>
      <c r="O9" s="17">
        <v>1</v>
      </c>
      <c r="P9" s="193"/>
      <c r="Q9" s="17"/>
      <c r="R9" s="17"/>
      <c r="S9" s="17">
        <v>1</v>
      </c>
      <c r="T9" s="17">
        <v>1</v>
      </c>
      <c r="U9" s="17"/>
      <c r="V9" s="193"/>
      <c r="W9" s="193"/>
      <c r="X9" s="17"/>
      <c r="Y9" s="193"/>
      <c r="Z9" s="193"/>
      <c r="AA9" s="193"/>
      <c r="AB9" s="193"/>
      <c r="AC9" s="193"/>
      <c r="AD9" s="193"/>
      <c r="AE9" s="17"/>
      <c r="AF9" s="18"/>
      <c r="AG9" s="49">
        <f>SUM(B9:AF9)</f>
        <v>12</v>
      </c>
    </row>
    <row r="10" spans="1:33" ht="27" customHeight="1" thickBot="1" x14ac:dyDescent="0.35">
      <c r="A10" s="27" t="str">
        <f>A5</f>
        <v>Jónás Jánosné</v>
      </c>
      <c r="B10" s="187"/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189"/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189"/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189"/>
      <c r="W10" s="189"/>
      <c r="X10" s="5"/>
      <c r="Y10" s="189"/>
      <c r="Z10" s="189"/>
      <c r="AA10" s="189"/>
      <c r="AB10" s="189"/>
      <c r="AC10" s="189"/>
      <c r="AD10" s="189"/>
      <c r="AE10" s="5"/>
      <c r="AF10" s="6"/>
      <c r="AG10" s="44">
        <f>SUM(B10:AF10)</f>
        <v>17</v>
      </c>
    </row>
    <row r="11" spans="1:33" ht="27" customHeight="1" thickBot="1" x14ac:dyDescent="0.35">
      <c r="A11" s="46" t="s">
        <v>10</v>
      </c>
      <c r="B11" s="70">
        <f>SUM(B9:B10)</f>
        <v>0</v>
      </c>
      <c r="C11" s="70">
        <f t="shared" ref="C11:AF11" si="1">SUM(C9:C10)</f>
        <v>2</v>
      </c>
      <c r="D11" s="70">
        <f t="shared" si="1"/>
        <v>2</v>
      </c>
      <c r="E11" s="70">
        <f t="shared" si="1"/>
        <v>2</v>
      </c>
      <c r="F11" s="70">
        <f t="shared" si="1"/>
        <v>1</v>
      </c>
      <c r="G11" s="70">
        <f t="shared" si="1"/>
        <v>2</v>
      </c>
      <c r="H11" s="70">
        <f t="shared" si="1"/>
        <v>2</v>
      </c>
      <c r="I11" s="70">
        <f t="shared" si="1"/>
        <v>0</v>
      </c>
      <c r="J11" s="70">
        <f t="shared" si="1"/>
        <v>1</v>
      </c>
      <c r="K11" s="70">
        <f t="shared" si="1"/>
        <v>2</v>
      </c>
      <c r="L11" s="70">
        <f t="shared" si="1"/>
        <v>2</v>
      </c>
      <c r="M11" s="70">
        <f t="shared" si="1"/>
        <v>2</v>
      </c>
      <c r="N11" s="70">
        <f t="shared" si="1"/>
        <v>2</v>
      </c>
      <c r="O11" s="70">
        <f t="shared" si="1"/>
        <v>2</v>
      </c>
      <c r="P11" s="70">
        <f t="shared" si="1"/>
        <v>0</v>
      </c>
      <c r="Q11" s="70">
        <f t="shared" si="1"/>
        <v>1</v>
      </c>
      <c r="R11" s="70">
        <f t="shared" si="1"/>
        <v>1</v>
      </c>
      <c r="S11" s="70">
        <f t="shared" si="1"/>
        <v>2</v>
      </c>
      <c r="T11" s="70">
        <f t="shared" si="1"/>
        <v>2</v>
      </c>
      <c r="U11" s="70">
        <f t="shared" si="1"/>
        <v>1</v>
      </c>
      <c r="V11" s="70">
        <f t="shared" si="1"/>
        <v>0</v>
      </c>
      <c r="W11" s="70">
        <f t="shared" si="1"/>
        <v>0</v>
      </c>
      <c r="X11" s="70">
        <f t="shared" si="1"/>
        <v>0</v>
      </c>
      <c r="Y11" s="70">
        <f t="shared" si="1"/>
        <v>0</v>
      </c>
      <c r="Z11" s="70">
        <f t="shared" si="1"/>
        <v>0</v>
      </c>
      <c r="AA11" s="70">
        <f t="shared" si="1"/>
        <v>0</v>
      </c>
      <c r="AB11" s="70">
        <f t="shared" si="1"/>
        <v>0</v>
      </c>
      <c r="AC11" s="70"/>
      <c r="AD11" s="70">
        <f t="shared" si="1"/>
        <v>0</v>
      </c>
      <c r="AE11" s="70">
        <f t="shared" si="1"/>
        <v>0</v>
      </c>
      <c r="AF11" s="70">
        <f t="shared" si="1"/>
        <v>0</v>
      </c>
      <c r="AG11" s="44">
        <f>SUM(AG9:AG10)</f>
        <v>29</v>
      </c>
    </row>
    <row r="12" spans="1:33" ht="27" customHeight="1" thickBot="1" x14ac:dyDescent="0.3">
      <c r="A12" s="46" t="s">
        <v>186</v>
      </c>
      <c r="B12" s="154">
        <f>SUM(B6,B11)</f>
        <v>0</v>
      </c>
      <c r="C12" s="154">
        <f t="shared" ref="C12:AF12" si="2">SUM(C6,C11)</f>
        <v>2</v>
      </c>
      <c r="D12" s="154">
        <f t="shared" si="2"/>
        <v>2</v>
      </c>
      <c r="E12" s="154">
        <f t="shared" si="2"/>
        <v>2</v>
      </c>
      <c r="F12" s="154">
        <f t="shared" si="2"/>
        <v>1</v>
      </c>
      <c r="G12" s="154">
        <f t="shared" si="2"/>
        <v>2</v>
      </c>
      <c r="H12" s="154">
        <f t="shared" si="2"/>
        <v>2</v>
      </c>
      <c r="I12" s="154">
        <f t="shared" si="2"/>
        <v>0</v>
      </c>
      <c r="J12" s="154">
        <f t="shared" si="2"/>
        <v>1</v>
      </c>
      <c r="K12" s="154">
        <f t="shared" si="2"/>
        <v>2</v>
      </c>
      <c r="L12" s="154">
        <f t="shared" si="2"/>
        <v>2</v>
      </c>
      <c r="M12" s="154">
        <f t="shared" si="2"/>
        <v>2</v>
      </c>
      <c r="N12" s="154">
        <f>SUM(N6,N11)</f>
        <v>2</v>
      </c>
      <c r="O12" s="154">
        <f t="shared" si="2"/>
        <v>2</v>
      </c>
      <c r="P12" s="154">
        <f t="shared" si="2"/>
        <v>0</v>
      </c>
      <c r="Q12" s="154">
        <f t="shared" si="2"/>
        <v>1</v>
      </c>
      <c r="R12" s="154">
        <f t="shared" si="2"/>
        <v>1</v>
      </c>
      <c r="S12" s="154">
        <f t="shared" si="2"/>
        <v>2</v>
      </c>
      <c r="T12" s="154">
        <f t="shared" si="2"/>
        <v>2</v>
      </c>
      <c r="U12" s="154">
        <f t="shared" si="2"/>
        <v>1</v>
      </c>
      <c r="V12" s="154">
        <f t="shared" si="2"/>
        <v>0</v>
      </c>
      <c r="W12" s="154">
        <f t="shared" si="2"/>
        <v>0</v>
      </c>
      <c r="X12" s="154">
        <f t="shared" si="2"/>
        <v>0</v>
      </c>
      <c r="Y12" s="154">
        <f t="shared" si="2"/>
        <v>0</v>
      </c>
      <c r="Z12" s="154">
        <f t="shared" si="2"/>
        <v>0</v>
      </c>
      <c r="AA12" s="154">
        <f t="shared" si="2"/>
        <v>0</v>
      </c>
      <c r="AB12" s="154">
        <f t="shared" si="2"/>
        <v>0</v>
      </c>
      <c r="AC12" s="154">
        <f t="shared" si="2"/>
        <v>0</v>
      </c>
      <c r="AD12" s="154">
        <f t="shared" si="2"/>
        <v>0</v>
      </c>
      <c r="AE12" s="154">
        <f t="shared" si="2"/>
        <v>0</v>
      </c>
      <c r="AF12" s="154">
        <f t="shared" si="2"/>
        <v>0</v>
      </c>
      <c r="AG12" s="174">
        <f>AG11+AG6</f>
        <v>29</v>
      </c>
    </row>
    <row r="17" spans="37:37" x14ac:dyDescent="0.25">
      <c r="AK17" s="42">
        <v>5</v>
      </c>
    </row>
  </sheetData>
  <sheetProtection formatCells="0" formatColumns="0"/>
  <mergeCells count="4">
    <mergeCell ref="A2:AG2"/>
    <mergeCell ref="A3:AG3"/>
    <mergeCell ref="A7:AG7"/>
    <mergeCell ref="A8:AG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"/>
  <sheetViews>
    <sheetView workbookViewId="0">
      <selection sqref="A1:I13"/>
    </sheetView>
  </sheetViews>
  <sheetFormatPr defaultRowHeight="15" x14ac:dyDescent="0.25"/>
  <cols>
    <col min="1" max="1" width="4.140625" style="42" bestFit="1" customWidth="1"/>
    <col min="2" max="2" width="24.85546875" style="42" customWidth="1"/>
    <col min="3" max="3" width="14" style="42" customWidth="1"/>
    <col min="4" max="4" width="17.42578125" style="42" customWidth="1"/>
    <col min="5" max="5" width="10.28515625" style="42" customWidth="1"/>
    <col min="6" max="6" width="11.140625" style="42" customWidth="1"/>
    <col min="7" max="7" width="10.28515625" style="42" customWidth="1"/>
    <col min="8" max="8" width="11.85546875" style="42" customWidth="1"/>
    <col min="9" max="9" width="16.42578125" style="42" customWidth="1"/>
    <col min="10" max="16384" width="9.140625" style="42"/>
  </cols>
  <sheetData>
    <row r="1" spans="1:9" ht="39" customHeight="1" x14ac:dyDescent="0.25">
      <c r="A1" s="265" t="s">
        <v>82</v>
      </c>
      <c r="B1" s="266"/>
      <c r="C1" s="266"/>
      <c r="D1" s="266"/>
      <c r="E1" s="266"/>
      <c r="F1" s="266"/>
      <c r="G1" s="267"/>
      <c r="H1" s="51" t="s">
        <v>83</v>
      </c>
      <c r="I1" s="22" t="s">
        <v>469</v>
      </c>
    </row>
    <row r="2" spans="1:9" ht="25.5" x14ac:dyDescent="0.25">
      <c r="A2" s="268" t="s">
        <v>84</v>
      </c>
      <c r="B2" s="269"/>
      <c r="C2" s="269"/>
      <c r="D2" s="269"/>
      <c r="E2" s="269"/>
      <c r="F2" s="269"/>
      <c r="G2" s="270"/>
      <c r="H2" s="52" t="s">
        <v>37</v>
      </c>
      <c r="I2" s="52"/>
    </row>
    <row r="3" spans="1:9" ht="31.5" customHeight="1" x14ac:dyDescent="0.25">
      <c r="A3" s="271" t="s">
        <v>85</v>
      </c>
      <c r="B3" s="272"/>
      <c r="C3" s="71"/>
      <c r="D3" s="71"/>
      <c r="E3" s="271" t="s">
        <v>183</v>
      </c>
      <c r="F3" s="272"/>
      <c r="G3" s="271" t="s">
        <v>182</v>
      </c>
      <c r="H3" s="272"/>
      <c r="I3" s="52"/>
    </row>
    <row r="4" spans="1:9" ht="45" x14ac:dyDescent="0.25">
      <c r="A4" s="116" t="s">
        <v>133</v>
      </c>
      <c r="B4" s="87" t="s">
        <v>86</v>
      </c>
      <c r="C4" s="87" t="s">
        <v>369</v>
      </c>
      <c r="D4" s="87" t="s">
        <v>368</v>
      </c>
      <c r="E4" s="87" t="s">
        <v>129</v>
      </c>
      <c r="F4" s="87" t="s">
        <v>131</v>
      </c>
      <c r="G4" s="87" t="s">
        <v>130</v>
      </c>
      <c r="H4" s="117" t="s">
        <v>87</v>
      </c>
      <c r="I4" s="87" t="s">
        <v>132</v>
      </c>
    </row>
    <row r="5" spans="1:9" ht="30" customHeight="1" x14ac:dyDescent="0.25">
      <c r="A5" s="103" t="s">
        <v>88</v>
      </c>
      <c r="B5" s="93" t="str">
        <f>'Szent László'!A4</f>
        <v>Megyik Attila</v>
      </c>
      <c r="C5" s="93" t="str">
        <f>VLOOKUP(B5,többinévsor!$A$2:$C$27,2,FALSE)</f>
        <v>X2000050</v>
      </c>
      <c r="D5" s="93" t="str">
        <f>VLOOKUP(B5,többinévsor!$A$2:$C$27,3,FALSE)</f>
        <v>U0000030305</v>
      </c>
      <c r="E5" s="92">
        <v>380</v>
      </c>
      <c r="F5" s="93">
        <f>'Szent László'!AG9</f>
        <v>12</v>
      </c>
      <c r="G5" s="94">
        <v>460</v>
      </c>
      <c r="H5" s="104">
        <f>'Szent László'!AG4</f>
        <v>0</v>
      </c>
      <c r="I5" s="94">
        <f>(E5*F5)+(G5*H5)</f>
        <v>4560</v>
      </c>
    </row>
    <row r="6" spans="1:9" ht="30" customHeight="1" thickBot="1" x14ac:dyDescent="0.3">
      <c r="A6" s="103" t="s">
        <v>89</v>
      </c>
      <c r="B6" s="93" t="str">
        <f>'Szent László'!A5</f>
        <v>Jónás Jánosné</v>
      </c>
      <c r="C6" s="93" t="str">
        <f>VLOOKUP(B6,többinévsor!$A$2:$C$27,2,FALSE)</f>
        <v>X2000050</v>
      </c>
      <c r="D6" s="93" t="str">
        <f>VLOOKUP(B6,többinévsor!$A$2:$C$27,3,FALSE)</f>
        <v>U0000030305</v>
      </c>
      <c r="E6" s="92">
        <v>380</v>
      </c>
      <c r="F6" s="93">
        <f>'Szent László'!AG10</f>
        <v>17</v>
      </c>
      <c r="G6" s="94">
        <v>460</v>
      </c>
      <c r="H6" s="104">
        <f>'Szent László'!AG5</f>
        <v>0</v>
      </c>
      <c r="I6" s="94">
        <f>(E6*F6)+(G6*H6)</f>
        <v>6460</v>
      </c>
    </row>
    <row r="7" spans="1:9" ht="30" customHeight="1" thickBot="1" x14ac:dyDescent="0.3">
      <c r="A7" s="109"/>
      <c r="B7" s="110" t="s">
        <v>10</v>
      </c>
      <c r="C7" s="110"/>
      <c r="D7" s="110"/>
      <c r="E7" s="111"/>
      <c r="F7" s="112">
        <f>SUM(F5:F6)</f>
        <v>29</v>
      </c>
      <c r="G7" s="111"/>
      <c r="H7" s="113">
        <f>SUM(H5:H6)</f>
        <v>0</v>
      </c>
      <c r="I7" s="114">
        <f>SUM(I5:I6)</f>
        <v>11020</v>
      </c>
    </row>
    <row r="8" spans="1:9" x14ac:dyDescent="0.25">
      <c r="A8" s="56"/>
      <c r="B8" s="57"/>
      <c r="C8" s="57"/>
      <c r="D8" s="57"/>
      <c r="E8" s="57"/>
      <c r="F8" s="57"/>
      <c r="G8" s="58"/>
      <c r="H8" s="58"/>
    </row>
    <row r="9" spans="1:9" x14ac:dyDescent="0.25">
      <c r="A9" s="56"/>
      <c r="B9" s="57"/>
      <c r="C9" s="57"/>
      <c r="D9" s="57"/>
      <c r="E9" s="57"/>
      <c r="F9" s="57"/>
      <c r="G9" s="59"/>
      <c r="H9" s="58"/>
    </row>
    <row r="10" spans="1:9" x14ac:dyDescent="0.25">
      <c r="A10" s="58"/>
      <c r="B10" s="57"/>
      <c r="C10" s="57"/>
      <c r="D10" s="57"/>
      <c r="E10" s="57"/>
      <c r="F10" s="57"/>
      <c r="G10" s="58"/>
      <c r="H10" s="58"/>
    </row>
    <row r="11" spans="1:9" ht="15" customHeight="1" x14ac:dyDescent="0.25">
      <c r="A11" s="58"/>
      <c r="B11" s="263" t="s">
        <v>470</v>
      </c>
      <c r="C11" s="263"/>
      <c r="D11" s="263"/>
      <c r="E11" s="263"/>
      <c r="F11" s="263"/>
      <c r="G11" s="263"/>
      <c r="H11" s="264" t="s">
        <v>128</v>
      </c>
      <c r="I11" s="264"/>
    </row>
  </sheetData>
  <mergeCells count="7">
    <mergeCell ref="B11:G11"/>
    <mergeCell ref="H11:I11"/>
    <mergeCell ref="A1:G1"/>
    <mergeCell ref="A2:G2"/>
    <mergeCell ref="A3:B3"/>
    <mergeCell ref="E3:F3"/>
    <mergeCell ref="G3:H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5"/>
  <sheetViews>
    <sheetView workbookViewId="0">
      <pane ySplit="1" topLeftCell="A2" activePane="bottomLeft" state="frozen"/>
      <selection pane="bottomLeft" activeCell="W30" sqref="W30"/>
    </sheetView>
  </sheetViews>
  <sheetFormatPr defaultRowHeight="15" x14ac:dyDescent="0.25"/>
  <cols>
    <col min="1" max="1" width="37.5703125" style="42" bestFit="1" customWidth="1"/>
    <col min="2" max="32" width="4.42578125" style="42" customWidth="1"/>
    <col min="33" max="33" width="11.7109375" style="42" bestFit="1" customWidth="1"/>
    <col min="34" max="16384" width="9.140625" style="42"/>
  </cols>
  <sheetData>
    <row r="1" spans="1:33" s="41" customFormat="1" ht="19.5" thickBot="1" x14ac:dyDescent="0.35">
      <c r="A1" s="36" t="s">
        <v>190</v>
      </c>
      <c r="B1" s="37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8">
        <v>30</v>
      </c>
      <c r="AF1" s="39">
        <v>31</v>
      </c>
      <c r="AG1" s="40" t="s">
        <v>10</v>
      </c>
    </row>
    <row r="2" spans="1:33" ht="32.25" thickBot="1" x14ac:dyDescent="0.55000000000000004">
      <c r="A2" s="257" t="s">
        <v>188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9"/>
    </row>
    <row r="3" spans="1:33" s="41" customFormat="1" ht="19.5" thickBot="1" x14ac:dyDescent="0.35">
      <c r="A3" s="260" t="s">
        <v>197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2"/>
    </row>
    <row r="4" spans="1:33" ht="27" customHeight="1" thickBot="1" x14ac:dyDescent="0.35">
      <c r="A4" s="29" t="s">
        <v>200</v>
      </c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3"/>
      <c r="AG4" s="43">
        <f>SUM(B4:AF4)</f>
        <v>0</v>
      </c>
    </row>
    <row r="5" spans="1:33" ht="27" customHeight="1" thickBot="1" x14ac:dyDescent="0.35">
      <c r="A5" s="30" t="s">
        <v>201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6"/>
      <c r="AG5" s="44">
        <f t="shared" ref="AG5:AG16" si="0">SUM(B5:AF5)</f>
        <v>0</v>
      </c>
    </row>
    <row r="6" spans="1:33" ht="27" customHeight="1" thickBot="1" x14ac:dyDescent="0.35">
      <c r="A6" s="31" t="s">
        <v>202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  <c r="AG6" s="45">
        <f t="shared" si="0"/>
        <v>0</v>
      </c>
    </row>
    <row r="7" spans="1:33" ht="27" customHeight="1" thickBot="1" x14ac:dyDescent="0.35">
      <c r="A7" s="30" t="s">
        <v>203</v>
      </c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6"/>
      <c r="AG7" s="44">
        <f t="shared" si="0"/>
        <v>0</v>
      </c>
    </row>
    <row r="8" spans="1:33" ht="27" customHeight="1" thickBot="1" x14ac:dyDescent="0.35">
      <c r="A8" s="31" t="s">
        <v>191</v>
      </c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9"/>
      <c r="AG8" s="45">
        <f t="shared" si="0"/>
        <v>0</v>
      </c>
    </row>
    <row r="9" spans="1:33" ht="27" customHeight="1" thickBot="1" x14ac:dyDescent="0.35">
      <c r="A9" s="30" t="s">
        <v>193</v>
      </c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6"/>
      <c r="AG9" s="44">
        <f t="shared" si="0"/>
        <v>0</v>
      </c>
    </row>
    <row r="10" spans="1:33" ht="27" customHeight="1" thickBot="1" x14ac:dyDescent="0.35">
      <c r="A10" s="31" t="s">
        <v>204</v>
      </c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/>
      <c r="AG10" s="45">
        <f t="shared" si="0"/>
        <v>0</v>
      </c>
    </row>
    <row r="11" spans="1:33" ht="27" customHeight="1" thickBot="1" x14ac:dyDescent="0.35">
      <c r="A11" s="30" t="s">
        <v>205</v>
      </c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6"/>
      <c r="AG11" s="44">
        <f t="shared" si="0"/>
        <v>0</v>
      </c>
    </row>
    <row r="12" spans="1:33" ht="27" customHeight="1" thickBot="1" x14ac:dyDescent="0.35">
      <c r="A12" s="31" t="s">
        <v>195</v>
      </c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5"/>
      <c r="AG12" s="45">
        <f t="shared" si="0"/>
        <v>0</v>
      </c>
    </row>
    <row r="13" spans="1:33" ht="27" customHeight="1" thickBot="1" x14ac:dyDescent="0.35">
      <c r="A13" s="32" t="s">
        <v>194</v>
      </c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2"/>
      <c r="AG13" s="44">
        <f t="shared" si="0"/>
        <v>0</v>
      </c>
    </row>
    <row r="14" spans="1:33" ht="27" customHeight="1" thickBot="1" x14ac:dyDescent="0.35">
      <c r="A14" s="33" t="s">
        <v>192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5"/>
      <c r="AG14" s="45">
        <f t="shared" si="0"/>
        <v>0</v>
      </c>
    </row>
    <row r="15" spans="1:33" ht="27" customHeight="1" thickBot="1" x14ac:dyDescent="0.35">
      <c r="A15" s="32" t="s">
        <v>196</v>
      </c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2"/>
      <c r="AG15" s="44">
        <f t="shared" si="0"/>
        <v>0</v>
      </c>
    </row>
    <row r="16" spans="1:33" ht="27" customHeight="1" thickBot="1" x14ac:dyDescent="0.35">
      <c r="A16" s="34" t="s">
        <v>207</v>
      </c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1"/>
      <c r="AG16" s="45">
        <f t="shared" si="0"/>
        <v>0</v>
      </c>
    </row>
    <row r="17" spans="1:33" ht="27" customHeight="1" thickBot="1" x14ac:dyDescent="0.35">
      <c r="A17" s="46" t="s">
        <v>10</v>
      </c>
      <c r="B17" s="70">
        <f t="shared" ref="B17:AG17" si="1">SUM(B4:B16)</f>
        <v>0</v>
      </c>
      <c r="C17" s="70">
        <f t="shared" si="1"/>
        <v>0</v>
      </c>
      <c r="D17" s="70">
        <f t="shared" si="1"/>
        <v>0</v>
      </c>
      <c r="E17" s="70">
        <f t="shared" si="1"/>
        <v>0</v>
      </c>
      <c r="F17" s="70">
        <f t="shared" si="1"/>
        <v>0</v>
      </c>
      <c r="G17" s="70">
        <f t="shared" si="1"/>
        <v>0</v>
      </c>
      <c r="H17" s="70">
        <f t="shared" si="1"/>
        <v>0</v>
      </c>
      <c r="I17" s="70">
        <f t="shared" si="1"/>
        <v>0</v>
      </c>
      <c r="J17" s="70">
        <f t="shared" si="1"/>
        <v>0</v>
      </c>
      <c r="K17" s="70">
        <f t="shared" si="1"/>
        <v>0</v>
      </c>
      <c r="L17" s="70">
        <f t="shared" si="1"/>
        <v>0</v>
      </c>
      <c r="M17" s="70">
        <f t="shared" si="1"/>
        <v>0</v>
      </c>
      <c r="N17" s="70">
        <f t="shared" si="1"/>
        <v>0</v>
      </c>
      <c r="O17" s="70">
        <f t="shared" si="1"/>
        <v>0</v>
      </c>
      <c r="P17" s="70">
        <f t="shared" si="1"/>
        <v>0</v>
      </c>
      <c r="Q17" s="70">
        <f t="shared" si="1"/>
        <v>0</v>
      </c>
      <c r="R17" s="70">
        <f t="shared" si="1"/>
        <v>0</v>
      </c>
      <c r="S17" s="70">
        <f t="shared" si="1"/>
        <v>0</v>
      </c>
      <c r="T17" s="70">
        <f t="shared" si="1"/>
        <v>0</v>
      </c>
      <c r="U17" s="70">
        <f t="shared" si="1"/>
        <v>0</v>
      </c>
      <c r="V17" s="70">
        <f t="shared" si="1"/>
        <v>0</v>
      </c>
      <c r="W17" s="70">
        <f t="shared" si="1"/>
        <v>0</v>
      </c>
      <c r="X17" s="70">
        <f t="shared" si="1"/>
        <v>0</v>
      </c>
      <c r="Y17" s="70">
        <f t="shared" si="1"/>
        <v>0</v>
      </c>
      <c r="Z17" s="70">
        <f t="shared" si="1"/>
        <v>0</v>
      </c>
      <c r="AA17" s="70">
        <f t="shared" si="1"/>
        <v>0</v>
      </c>
      <c r="AB17" s="70">
        <f t="shared" si="1"/>
        <v>0</v>
      </c>
      <c r="AC17" s="70">
        <f t="shared" si="1"/>
        <v>0</v>
      </c>
      <c r="AD17" s="70">
        <f t="shared" si="1"/>
        <v>0</v>
      </c>
      <c r="AE17" s="70">
        <f t="shared" si="1"/>
        <v>0</v>
      </c>
      <c r="AF17" s="70">
        <f t="shared" si="1"/>
        <v>0</v>
      </c>
      <c r="AG17" s="44">
        <f t="shared" si="1"/>
        <v>0</v>
      </c>
    </row>
    <row r="18" spans="1:33" ht="15.75" thickBot="1" x14ac:dyDescent="0.3"/>
    <row r="19" spans="1:33" ht="32.25" thickBot="1" x14ac:dyDescent="0.55000000000000004">
      <c r="A19" s="257" t="s">
        <v>189</v>
      </c>
      <c r="B19" s="258"/>
      <c r="C19" s="258"/>
      <c r="D19" s="258"/>
      <c r="E19" s="258"/>
      <c r="F19" s="258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8"/>
      <c r="AB19" s="258"/>
      <c r="AC19" s="258"/>
      <c r="AD19" s="258"/>
      <c r="AE19" s="258"/>
      <c r="AF19" s="258"/>
      <c r="AG19" s="259"/>
    </row>
    <row r="20" spans="1:33" ht="19.5" thickBot="1" x14ac:dyDescent="0.35">
      <c r="A20" s="260" t="s">
        <v>197</v>
      </c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2"/>
    </row>
    <row r="21" spans="1:33" ht="27" customHeight="1" thickBot="1" x14ac:dyDescent="0.35">
      <c r="A21" s="26" t="str">
        <f t="shared" ref="A21:A33" si="2">A4</f>
        <v>Fábri Györgyné</v>
      </c>
      <c r="B21" s="173"/>
      <c r="C21" s="17"/>
      <c r="D21" s="17"/>
      <c r="E21" s="155"/>
      <c r="F21" s="155"/>
      <c r="G21" s="17"/>
      <c r="H21" s="17"/>
      <c r="I21" s="17"/>
      <c r="J21" s="17"/>
      <c r="K21" s="17"/>
      <c r="L21" s="155"/>
      <c r="M21" s="155"/>
      <c r="N21" s="17"/>
      <c r="O21" s="17"/>
      <c r="P21" s="17"/>
      <c r="Q21" s="17"/>
      <c r="R21" s="17"/>
      <c r="S21" s="155"/>
      <c r="T21" s="155"/>
      <c r="U21" s="17"/>
      <c r="V21" s="17"/>
      <c r="W21" s="17"/>
      <c r="X21" s="17"/>
      <c r="Y21" s="17"/>
      <c r="Z21" s="155"/>
      <c r="AA21" s="155"/>
      <c r="AB21" s="17"/>
      <c r="AC21" s="17"/>
      <c r="AD21" s="17"/>
      <c r="AE21" s="17"/>
      <c r="AF21" s="18"/>
      <c r="AG21" s="49">
        <f>SUM(B21:AF21)</f>
        <v>0</v>
      </c>
    </row>
    <row r="22" spans="1:33" ht="27" customHeight="1" thickBot="1" x14ac:dyDescent="0.35">
      <c r="A22" s="27" t="str">
        <f t="shared" si="2"/>
        <v>Fazakasné Halizczki Judit</v>
      </c>
      <c r="B22" s="166"/>
      <c r="C22" s="5"/>
      <c r="D22" s="5"/>
      <c r="E22" s="156"/>
      <c r="F22" s="156"/>
      <c r="G22" s="5"/>
      <c r="H22" s="5"/>
      <c r="I22" s="5"/>
      <c r="J22" s="5"/>
      <c r="K22" s="5"/>
      <c r="L22" s="156"/>
      <c r="M22" s="156"/>
      <c r="N22" s="5"/>
      <c r="O22" s="5"/>
      <c r="P22" s="5"/>
      <c r="Q22" s="5"/>
      <c r="R22" s="5"/>
      <c r="S22" s="156"/>
      <c r="T22" s="156"/>
      <c r="U22" s="5"/>
      <c r="V22" s="5"/>
      <c r="W22" s="5"/>
      <c r="X22" s="5"/>
      <c r="Y22" s="5"/>
      <c r="Z22" s="156"/>
      <c r="AA22" s="156"/>
      <c r="AB22" s="5"/>
      <c r="AC22" s="5"/>
      <c r="AD22" s="5"/>
      <c r="AE22" s="5"/>
      <c r="AF22" s="6"/>
      <c r="AG22" s="44">
        <f t="shared" ref="AG22:AG33" si="3">SUM(B22:AF22)</f>
        <v>0</v>
      </c>
    </row>
    <row r="23" spans="1:33" ht="27" customHeight="1" thickBot="1" x14ac:dyDescent="0.35">
      <c r="A23" s="26" t="str">
        <f t="shared" si="2"/>
        <v>Hudákné Juhos Mária</v>
      </c>
      <c r="B23" s="166"/>
      <c r="C23" s="5"/>
      <c r="D23" s="5"/>
      <c r="E23" s="156"/>
      <c r="F23" s="156"/>
      <c r="G23" s="5"/>
      <c r="H23" s="5"/>
      <c r="I23" s="5"/>
      <c r="J23" s="5"/>
      <c r="K23" s="5"/>
      <c r="L23" s="156"/>
      <c r="M23" s="156"/>
      <c r="N23" s="5"/>
      <c r="O23" s="5"/>
      <c r="P23" s="5"/>
      <c r="Q23" s="5"/>
      <c r="R23" s="5"/>
      <c r="S23" s="156"/>
      <c r="T23" s="156"/>
      <c r="U23" s="5"/>
      <c r="V23" s="5"/>
      <c r="W23" s="5"/>
      <c r="X23" s="5"/>
      <c r="Y23" s="5"/>
      <c r="Z23" s="156"/>
      <c r="AA23" s="156"/>
      <c r="AB23" s="5"/>
      <c r="AC23" s="5"/>
      <c r="AD23" s="5"/>
      <c r="AE23" s="5"/>
      <c r="AF23" s="6"/>
      <c r="AG23" s="44">
        <f t="shared" si="3"/>
        <v>0</v>
      </c>
    </row>
    <row r="24" spans="1:33" ht="27" customHeight="1" thickBot="1" x14ac:dyDescent="0.35">
      <c r="A24" s="27" t="str">
        <f t="shared" si="2"/>
        <v>Katona Sándorné</v>
      </c>
      <c r="B24" s="166"/>
      <c r="C24" s="5"/>
      <c r="D24" s="5"/>
      <c r="E24" s="156"/>
      <c r="F24" s="156"/>
      <c r="G24" s="5"/>
      <c r="H24" s="5"/>
      <c r="I24" s="5"/>
      <c r="J24" s="5"/>
      <c r="K24" s="5"/>
      <c r="L24" s="156"/>
      <c r="M24" s="156"/>
      <c r="N24" s="5"/>
      <c r="O24" s="5"/>
      <c r="P24" s="5"/>
      <c r="Q24" s="5"/>
      <c r="R24" s="5"/>
      <c r="S24" s="156"/>
      <c r="T24" s="156"/>
      <c r="U24" s="5"/>
      <c r="V24" s="5"/>
      <c r="W24" s="5"/>
      <c r="X24" s="5"/>
      <c r="Y24" s="5"/>
      <c r="Z24" s="156"/>
      <c r="AA24" s="156"/>
      <c r="AB24" s="5"/>
      <c r="AC24" s="5"/>
      <c r="AD24" s="5"/>
      <c r="AE24" s="5"/>
      <c r="AF24" s="6"/>
      <c r="AG24" s="44">
        <f t="shared" si="3"/>
        <v>0</v>
      </c>
    </row>
    <row r="25" spans="1:33" ht="27" customHeight="1" thickBot="1" x14ac:dyDescent="0.35">
      <c r="A25" s="26" t="str">
        <f t="shared" si="2"/>
        <v>Kovácsné Molnár Katalin</v>
      </c>
      <c r="B25" s="166"/>
      <c r="C25" s="5"/>
      <c r="D25" s="5"/>
      <c r="E25" s="156"/>
      <c r="F25" s="156"/>
      <c r="G25" s="5"/>
      <c r="H25" s="5"/>
      <c r="I25" s="5"/>
      <c r="J25" s="5"/>
      <c r="K25" s="5"/>
      <c r="L25" s="156"/>
      <c r="M25" s="156"/>
      <c r="N25" s="5"/>
      <c r="O25" s="5"/>
      <c r="P25" s="5"/>
      <c r="Q25" s="5"/>
      <c r="R25" s="5"/>
      <c r="S25" s="156"/>
      <c r="T25" s="156"/>
      <c r="U25" s="5"/>
      <c r="V25" s="5"/>
      <c r="W25" s="5"/>
      <c r="X25" s="5"/>
      <c r="Y25" s="5"/>
      <c r="Z25" s="156"/>
      <c r="AA25" s="156"/>
      <c r="AB25" s="5"/>
      <c r="AC25" s="5"/>
      <c r="AD25" s="5"/>
      <c r="AE25" s="5"/>
      <c r="AF25" s="6"/>
      <c r="AG25" s="44">
        <f t="shared" si="3"/>
        <v>0</v>
      </c>
    </row>
    <row r="26" spans="1:33" ht="27" customHeight="1" thickBot="1" x14ac:dyDescent="0.35">
      <c r="A26" s="27" t="str">
        <f t="shared" si="2"/>
        <v>Lipták Jánosné</v>
      </c>
      <c r="B26" s="166"/>
      <c r="C26" s="5"/>
      <c r="D26" s="5"/>
      <c r="E26" s="156"/>
      <c r="F26" s="156"/>
      <c r="G26" s="5"/>
      <c r="H26" s="5"/>
      <c r="I26" s="5"/>
      <c r="J26" s="5"/>
      <c r="K26" s="5"/>
      <c r="L26" s="156"/>
      <c r="M26" s="156"/>
      <c r="N26" s="5"/>
      <c r="O26" s="5"/>
      <c r="P26" s="5"/>
      <c r="Q26" s="5"/>
      <c r="R26" s="5"/>
      <c r="S26" s="156"/>
      <c r="T26" s="156"/>
      <c r="U26" s="5"/>
      <c r="V26" s="5"/>
      <c r="W26" s="5"/>
      <c r="X26" s="5"/>
      <c r="Y26" s="5"/>
      <c r="Z26" s="156"/>
      <c r="AA26" s="156"/>
      <c r="AB26" s="5"/>
      <c r="AC26" s="5"/>
      <c r="AD26" s="5"/>
      <c r="AE26" s="5"/>
      <c r="AF26" s="6"/>
      <c r="AG26" s="44">
        <f t="shared" si="3"/>
        <v>0</v>
      </c>
    </row>
    <row r="27" spans="1:33" ht="27" customHeight="1" thickBot="1" x14ac:dyDescent="0.35">
      <c r="A27" s="26" t="str">
        <f t="shared" si="2"/>
        <v>Medvegyné Babarik Erika</v>
      </c>
      <c r="B27" s="166"/>
      <c r="C27" s="5"/>
      <c r="D27" s="5"/>
      <c r="E27" s="156"/>
      <c r="F27" s="156"/>
      <c r="G27" s="5"/>
      <c r="H27" s="5"/>
      <c r="I27" s="5"/>
      <c r="J27" s="5"/>
      <c r="K27" s="5"/>
      <c r="L27" s="156"/>
      <c r="M27" s="156"/>
      <c r="N27" s="5"/>
      <c r="O27" s="5"/>
      <c r="P27" s="5"/>
      <c r="Q27" s="5"/>
      <c r="R27" s="5"/>
      <c r="S27" s="156"/>
      <c r="T27" s="156"/>
      <c r="U27" s="5"/>
      <c r="V27" s="5"/>
      <c r="W27" s="5"/>
      <c r="X27" s="5"/>
      <c r="Y27" s="5"/>
      <c r="Z27" s="156"/>
      <c r="AA27" s="156"/>
      <c r="AB27" s="5"/>
      <c r="AC27" s="5"/>
      <c r="AD27" s="5"/>
      <c r="AE27" s="5"/>
      <c r="AF27" s="6"/>
      <c r="AG27" s="44">
        <f t="shared" si="3"/>
        <v>0</v>
      </c>
    </row>
    <row r="28" spans="1:33" ht="27" customHeight="1" thickBot="1" x14ac:dyDescent="0.35">
      <c r="A28" s="27" t="str">
        <f t="shared" si="2"/>
        <v>Nemesváriné Papp Katalin</v>
      </c>
      <c r="B28" s="166"/>
      <c r="C28" s="5"/>
      <c r="D28" s="5"/>
      <c r="E28" s="156"/>
      <c r="F28" s="156"/>
      <c r="G28" s="5"/>
      <c r="H28" s="5"/>
      <c r="I28" s="5"/>
      <c r="J28" s="5"/>
      <c r="K28" s="5"/>
      <c r="L28" s="156"/>
      <c r="M28" s="156"/>
      <c r="N28" s="5"/>
      <c r="O28" s="5"/>
      <c r="P28" s="5"/>
      <c r="Q28" s="5"/>
      <c r="R28" s="5"/>
      <c r="S28" s="156"/>
      <c r="T28" s="156"/>
      <c r="U28" s="5"/>
      <c r="V28" s="5"/>
      <c r="W28" s="5"/>
      <c r="X28" s="5"/>
      <c r="Y28" s="5"/>
      <c r="Z28" s="156"/>
      <c r="AA28" s="156"/>
      <c r="AB28" s="5"/>
      <c r="AC28" s="5"/>
      <c r="AD28" s="5"/>
      <c r="AE28" s="5"/>
      <c r="AF28" s="6"/>
      <c r="AG28" s="44">
        <f t="shared" si="3"/>
        <v>0</v>
      </c>
    </row>
    <row r="29" spans="1:33" ht="27" customHeight="1" thickBot="1" x14ac:dyDescent="0.35">
      <c r="A29" s="26" t="str">
        <f t="shared" si="2"/>
        <v>Pálfiné Török Eszter</v>
      </c>
      <c r="B29" s="164"/>
      <c r="C29" s="11"/>
      <c r="D29" s="11"/>
      <c r="E29" s="157"/>
      <c r="F29" s="157"/>
      <c r="G29" s="11"/>
      <c r="H29" s="11"/>
      <c r="I29" s="11"/>
      <c r="J29" s="11"/>
      <c r="K29" s="11"/>
      <c r="L29" s="157"/>
      <c r="M29" s="157"/>
      <c r="N29" s="11"/>
      <c r="O29" s="11"/>
      <c r="P29" s="11"/>
      <c r="Q29" s="11"/>
      <c r="R29" s="11"/>
      <c r="S29" s="157"/>
      <c r="T29" s="157"/>
      <c r="U29" s="11"/>
      <c r="V29" s="11"/>
      <c r="W29" s="11"/>
      <c r="X29" s="11"/>
      <c r="Y29" s="11"/>
      <c r="Z29" s="157"/>
      <c r="AA29" s="157"/>
      <c r="AB29" s="11"/>
      <c r="AC29" s="11"/>
      <c r="AD29" s="11"/>
      <c r="AE29" s="11"/>
      <c r="AF29" s="12"/>
      <c r="AG29" s="44">
        <f t="shared" si="3"/>
        <v>0</v>
      </c>
    </row>
    <row r="30" spans="1:33" ht="27" customHeight="1" thickBot="1" x14ac:dyDescent="0.35">
      <c r="A30" s="27" t="str">
        <f t="shared" si="2"/>
        <v>Sepeczán Erzsébet</v>
      </c>
      <c r="B30" s="164"/>
      <c r="C30" s="11"/>
      <c r="D30" s="11"/>
      <c r="E30" s="157"/>
      <c r="F30" s="157"/>
      <c r="G30" s="11"/>
      <c r="H30" s="11"/>
      <c r="I30" s="11"/>
      <c r="J30" s="11"/>
      <c r="K30" s="11"/>
      <c r="L30" s="157"/>
      <c r="M30" s="157"/>
      <c r="N30" s="11"/>
      <c r="O30" s="11"/>
      <c r="P30" s="11"/>
      <c r="Q30" s="11"/>
      <c r="R30" s="11"/>
      <c r="S30" s="157"/>
      <c r="T30" s="157"/>
      <c r="U30" s="11"/>
      <c r="V30" s="11"/>
      <c r="W30" s="11"/>
      <c r="X30" s="11"/>
      <c r="Y30" s="11"/>
      <c r="Z30" s="157"/>
      <c r="AA30" s="157"/>
      <c r="AB30" s="11"/>
      <c r="AC30" s="11"/>
      <c r="AD30" s="11"/>
      <c r="AE30" s="11"/>
      <c r="AF30" s="12"/>
      <c r="AG30" s="44">
        <f t="shared" si="3"/>
        <v>0</v>
      </c>
    </row>
    <row r="31" spans="1:33" ht="27" customHeight="1" thickBot="1" x14ac:dyDescent="0.35">
      <c r="A31" s="26" t="str">
        <f t="shared" si="2"/>
        <v>Szilágyi Ildikó</v>
      </c>
      <c r="B31" s="164"/>
      <c r="C31" s="11"/>
      <c r="D31" s="11"/>
      <c r="E31" s="157"/>
      <c r="F31" s="157"/>
      <c r="G31" s="11"/>
      <c r="H31" s="11"/>
      <c r="I31" s="11"/>
      <c r="J31" s="11"/>
      <c r="K31" s="11"/>
      <c r="L31" s="157"/>
      <c r="M31" s="157"/>
      <c r="N31" s="11"/>
      <c r="O31" s="11"/>
      <c r="P31" s="11"/>
      <c r="Q31" s="11"/>
      <c r="R31" s="11"/>
      <c r="S31" s="157"/>
      <c r="T31" s="157"/>
      <c r="U31" s="11"/>
      <c r="V31" s="11"/>
      <c r="W31" s="11"/>
      <c r="X31" s="11"/>
      <c r="Y31" s="11"/>
      <c r="Z31" s="157"/>
      <c r="AA31" s="157"/>
      <c r="AB31" s="11"/>
      <c r="AC31" s="11"/>
      <c r="AD31" s="11"/>
      <c r="AE31" s="11"/>
      <c r="AF31" s="12"/>
      <c r="AG31" s="44">
        <f t="shared" si="3"/>
        <v>0</v>
      </c>
    </row>
    <row r="32" spans="1:33" ht="27" customHeight="1" thickBot="1" x14ac:dyDescent="0.35">
      <c r="A32" s="27" t="str">
        <f t="shared" si="2"/>
        <v>Szurdiné Birkás Éva</v>
      </c>
      <c r="B32" s="164"/>
      <c r="C32" s="11"/>
      <c r="D32" s="11"/>
      <c r="E32" s="157"/>
      <c r="F32" s="157"/>
      <c r="G32" s="11"/>
      <c r="H32" s="11"/>
      <c r="I32" s="11"/>
      <c r="J32" s="11"/>
      <c r="K32" s="11"/>
      <c r="L32" s="157"/>
      <c r="M32" s="157"/>
      <c r="N32" s="11"/>
      <c r="O32" s="11"/>
      <c r="P32" s="11"/>
      <c r="Q32" s="11"/>
      <c r="R32" s="11"/>
      <c r="S32" s="157"/>
      <c r="T32" s="157"/>
      <c r="U32" s="11"/>
      <c r="V32" s="11"/>
      <c r="W32" s="11"/>
      <c r="X32" s="11"/>
      <c r="Y32" s="11"/>
      <c r="Z32" s="157"/>
      <c r="AA32" s="157"/>
      <c r="AB32" s="11"/>
      <c r="AC32" s="11"/>
      <c r="AD32" s="11"/>
      <c r="AE32" s="11"/>
      <c r="AF32" s="12"/>
      <c r="AG32" s="44">
        <f t="shared" si="3"/>
        <v>0</v>
      </c>
    </row>
    <row r="33" spans="1:33" ht="27" customHeight="1" thickBot="1" x14ac:dyDescent="0.35">
      <c r="A33" s="26" t="str">
        <f t="shared" si="2"/>
        <v>Tóth Mihályné</v>
      </c>
      <c r="B33" s="164"/>
      <c r="C33" s="11"/>
      <c r="D33" s="11"/>
      <c r="E33" s="157"/>
      <c r="F33" s="157"/>
      <c r="G33" s="11"/>
      <c r="H33" s="11"/>
      <c r="I33" s="11"/>
      <c r="J33" s="11"/>
      <c r="K33" s="11"/>
      <c r="L33" s="157"/>
      <c r="M33" s="157"/>
      <c r="N33" s="11"/>
      <c r="O33" s="11"/>
      <c r="P33" s="11"/>
      <c r="Q33" s="11"/>
      <c r="R33" s="11"/>
      <c r="S33" s="157"/>
      <c r="T33" s="157"/>
      <c r="U33" s="11"/>
      <c r="V33" s="11"/>
      <c r="W33" s="11"/>
      <c r="X33" s="11"/>
      <c r="Y33" s="11"/>
      <c r="Z33" s="157"/>
      <c r="AA33" s="157"/>
      <c r="AB33" s="11"/>
      <c r="AC33" s="11"/>
      <c r="AD33" s="11"/>
      <c r="AE33" s="11"/>
      <c r="AF33" s="12"/>
      <c r="AG33" s="44">
        <f t="shared" si="3"/>
        <v>0</v>
      </c>
    </row>
    <row r="34" spans="1:33" ht="27" customHeight="1" thickBot="1" x14ac:dyDescent="0.35">
      <c r="A34" s="46" t="s">
        <v>10</v>
      </c>
      <c r="B34" s="162">
        <f t="shared" ref="B34:AG34" si="4">SUM(B21:B33)</f>
        <v>0</v>
      </c>
      <c r="C34" s="70">
        <f t="shared" si="4"/>
        <v>0</v>
      </c>
      <c r="D34" s="70">
        <f t="shared" si="4"/>
        <v>0</v>
      </c>
      <c r="E34" s="162">
        <f t="shared" si="4"/>
        <v>0</v>
      </c>
      <c r="F34" s="162">
        <f t="shared" si="4"/>
        <v>0</v>
      </c>
      <c r="G34" s="70">
        <f t="shared" si="4"/>
        <v>0</v>
      </c>
      <c r="H34" s="70">
        <f t="shared" si="4"/>
        <v>0</v>
      </c>
      <c r="I34" s="70">
        <f t="shared" si="4"/>
        <v>0</v>
      </c>
      <c r="J34" s="70">
        <f t="shared" si="4"/>
        <v>0</v>
      </c>
      <c r="K34" s="70">
        <f t="shared" si="4"/>
        <v>0</v>
      </c>
      <c r="L34" s="162">
        <f t="shared" si="4"/>
        <v>0</v>
      </c>
      <c r="M34" s="162">
        <f t="shared" si="4"/>
        <v>0</v>
      </c>
      <c r="N34" s="70">
        <f t="shared" si="4"/>
        <v>0</v>
      </c>
      <c r="O34" s="70">
        <f t="shared" si="4"/>
        <v>0</v>
      </c>
      <c r="P34" s="70">
        <f t="shared" si="4"/>
        <v>0</v>
      </c>
      <c r="Q34" s="70">
        <f t="shared" si="4"/>
        <v>0</v>
      </c>
      <c r="R34" s="70">
        <f t="shared" si="4"/>
        <v>0</v>
      </c>
      <c r="S34" s="162">
        <f t="shared" si="4"/>
        <v>0</v>
      </c>
      <c r="T34" s="162">
        <f t="shared" si="4"/>
        <v>0</v>
      </c>
      <c r="U34" s="70">
        <f t="shared" si="4"/>
        <v>0</v>
      </c>
      <c r="V34" s="70">
        <f t="shared" si="4"/>
        <v>0</v>
      </c>
      <c r="W34" s="70">
        <f t="shared" si="4"/>
        <v>0</v>
      </c>
      <c r="X34" s="70">
        <f t="shared" si="4"/>
        <v>0</v>
      </c>
      <c r="Y34" s="70">
        <f t="shared" si="4"/>
        <v>0</v>
      </c>
      <c r="Z34" s="162">
        <f t="shared" si="4"/>
        <v>0</v>
      </c>
      <c r="AA34" s="162">
        <f t="shared" si="4"/>
        <v>0</v>
      </c>
      <c r="AB34" s="70">
        <f t="shared" si="4"/>
        <v>0</v>
      </c>
      <c r="AC34" s="70">
        <f t="shared" si="4"/>
        <v>0</v>
      </c>
      <c r="AD34" s="70">
        <f t="shared" si="4"/>
        <v>0</v>
      </c>
      <c r="AE34" s="70">
        <f t="shared" si="4"/>
        <v>0</v>
      </c>
      <c r="AF34" s="70">
        <f t="shared" si="4"/>
        <v>0</v>
      </c>
      <c r="AG34" s="44">
        <f t="shared" si="4"/>
        <v>0</v>
      </c>
    </row>
    <row r="35" spans="1:33" ht="27" customHeight="1" thickBot="1" x14ac:dyDescent="0.3">
      <c r="A35" s="72" t="s">
        <v>186</v>
      </c>
      <c r="B35" s="161">
        <f t="shared" ref="B35:AF35" si="5">SUM(B17,B34)</f>
        <v>0</v>
      </c>
      <c r="C35" s="154">
        <f t="shared" si="5"/>
        <v>0</v>
      </c>
      <c r="D35" s="154">
        <f t="shared" si="5"/>
        <v>0</v>
      </c>
      <c r="E35" s="161">
        <f t="shared" si="5"/>
        <v>0</v>
      </c>
      <c r="F35" s="161">
        <f t="shared" si="5"/>
        <v>0</v>
      </c>
      <c r="G35" s="154">
        <f t="shared" si="5"/>
        <v>0</v>
      </c>
      <c r="H35" s="154">
        <f t="shared" si="5"/>
        <v>0</v>
      </c>
      <c r="I35" s="154">
        <f t="shared" si="5"/>
        <v>0</v>
      </c>
      <c r="J35" s="154">
        <f t="shared" si="5"/>
        <v>0</v>
      </c>
      <c r="K35" s="154">
        <f t="shared" si="5"/>
        <v>0</v>
      </c>
      <c r="L35" s="161">
        <f t="shared" si="5"/>
        <v>0</v>
      </c>
      <c r="M35" s="161">
        <f t="shared" si="5"/>
        <v>0</v>
      </c>
      <c r="N35" s="154">
        <f t="shared" si="5"/>
        <v>0</v>
      </c>
      <c r="O35" s="154">
        <f t="shared" si="5"/>
        <v>0</v>
      </c>
      <c r="P35" s="154">
        <f t="shared" si="5"/>
        <v>0</v>
      </c>
      <c r="Q35" s="154">
        <f t="shared" si="5"/>
        <v>0</v>
      </c>
      <c r="R35" s="154">
        <f t="shared" si="5"/>
        <v>0</v>
      </c>
      <c r="S35" s="161">
        <f t="shared" si="5"/>
        <v>0</v>
      </c>
      <c r="T35" s="161">
        <f t="shared" si="5"/>
        <v>0</v>
      </c>
      <c r="U35" s="154">
        <f t="shared" si="5"/>
        <v>0</v>
      </c>
      <c r="V35" s="154">
        <f t="shared" si="5"/>
        <v>0</v>
      </c>
      <c r="W35" s="154">
        <f t="shared" si="5"/>
        <v>0</v>
      </c>
      <c r="X35" s="154">
        <f t="shared" si="5"/>
        <v>0</v>
      </c>
      <c r="Y35" s="154">
        <f t="shared" si="5"/>
        <v>0</v>
      </c>
      <c r="Z35" s="161">
        <f t="shared" si="5"/>
        <v>0</v>
      </c>
      <c r="AA35" s="161">
        <f t="shared" si="5"/>
        <v>0</v>
      </c>
      <c r="AB35" s="154">
        <f t="shared" si="5"/>
        <v>0</v>
      </c>
      <c r="AC35" s="154">
        <f t="shared" si="5"/>
        <v>0</v>
      </c>
      <c r="AD35" s="154">
        <f t="shared" si="5"/>
        <v>0</v>
      </c>
      <c r="AE35" s="154">
        <f t="shared" si="5"/>
        <v>0</v>
      </c>
      <c r="AF35" s="154">
        <f t="shared" si="5"/>
        <v>0</v>
      </c>
      <c r="AG35" s="174"/>
    </row>
  </sheetData>
  <sheetProtection formatCells="0" formatColumns="0"/>
  <mergeCells count="4">
    <mergeCell ref="A19:AG19"/>
    <mergeCell ref="A20:AG20"/>
    <mergeCell ref="A2:AG2"/>
    <mergeCell ref="A3:AG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8" workbookViewId="0">
      <selection activeCell="I19" sqref="I19"/>
    </sheetView>
  </sheetViews>
  <sheetFormatPr defaultRowHeight="15" x14ac:dyDescent="0.25"/>
  <cols>
    <col min="1" max="1" width="4.140625" style="42" bestFit="1" customWidth="1"/>
    <col min="2" max="2" width="24.85546875" style="42" customWidth="1"/>
    <col min="3" max="3" width="12.7109375" style="42" customWidth="1"/>
    <col min="4" max="4" width="15.5703125" style="42" customWidth="1"/>
    <col min="5" max="5" width="10.28515625" style="42" customWidth="1"/>
    <col min="6" max="6" width="11.140625" style="42" customWidth="1"/>
    <col min="7" max="7" width="10.28515625" style="42" customWidth="1"/>
    <col min="8" max="8" width="11.85546875" style="42" customWidth="1"/>
    <col min="9" max="9" width="16.42578125" style="42" customWidth="1"/>
    <col min="10" max="16384" width="9.140625" style="42"/>
  </cols>
  <sheetData>
    <row r="1" spans="1:9" ht="39" customHeight="1" x14ac:dyDescent="0.25">
      <c r="A1" s="265" t="s">
        <v>82</v>
      </c>
      <c r="B1" s="266"/>
      <c r="C1" s="266"/>
      <c r="D1" s="266"/>
      <c r="E1" s="266"/>
      <c r="F1" s="266"/>
      <c r="G1" s="267"/>
      <c r="H1" s="51" t="s">
        <v>83</v>
      </c>
      <c r="I1" s="22" t="s">
        <v>316</v>
      </c>
    </row>
    <row r="2" spans="1:9" ht="25.5" x14ac:dyDescent="0.25">
      <c r="A2" s="268" t="s">
        <v>84</v>
      </c>
      <c r="B2" s="269"/>
      <c r="C2" s="269"/>
      <c r="D2" s="269"/>
      <c r="E2" s="269"/>
      <c r="F2" s="269"/>
      <c r="G2" s="270"/>
      <c r="H2" s="52" t="s">
        <v>37</v>
      </c>
      <c r="I2" s="52"/>
    </row>
    <row r="3" spans="1:9" ht="31.5" customHeight="1" x14ac:dyDescent="0.25">
      <c r="A3" s="271" t="s">
        <v>85</v>
      </c>
      <c r="B3" s="272"/>
      <c r="C3" s="71"/>
      <c r="D3" s="71"/>
      <c r="E3" s="271" t="s">
        <v>183</v>
      </c>
      <c r="F3" s="272"/>
      <c r="G3" s="271" t="s">
        <v>182</v>
      </c>
      <c r="H3" s="272"/>
      <c r="I3" s="52"/>
    </row>
    <row r="4" spans="1:9" ht="45" x14ac:dyDescent="0.25">
      <c r="A4" s="116" t="s">
        <v>133</v>
      </c>
      <c r="B4" s="87" t="s">
        <v>86</v>
      </c>
      <c r="C4" s="87" t="s">
        <v>369</v>
      </c>
      <c r="D4" s="87" t="s">
        <v>368</v>
      </c>
      <c r="E4" s="87" t="s">
        <v>129</v>
      </c>
      <c r="F4" s="87" t="s">
        <v>131</v>
      </c>
      <c r="G4" s="87" t="s">
        <v>130</v>
      </c>
      <c r="H4" s="117" t="s">
        <v>87</v>
      </c>
      <c r="I4" s="87" t="s">
        <v>132</v>
      </c>
    </row>
    <row r="5" spans="1:9" ht="30" customHeight="1" x14ac:dyDescent="0.25">
      <c r="A5" s="103" t="s">
        <v>88</v>
      </c>
      <c r="B5" s="93" t="str">
        <f>Csabacsűd!A4</f>
        <v>Fábri Györgyné</v>
      </c>
      <c r="C5" s="93" t="str">
        <f>VLOOKUP(B5,többinévsor!$A$2:$C$27,2,FALSE)</f>
        <v>X2000020</v>
      </c>
      <c r="D5" s="93" t="str">
        <f>VLOOKUP(B5,többinévsor!$A$2:$C$27,3,FALSE)</f>
        <v>U0000030321</v>
      </c>
      <c r="E5" s="92">
        <v>380</v>
      </c>
      <c r="F5" s="93">
        <f>Csabacsűd!AG21</f>
        <v>0</v>
      </c>
      <c r="G5" s="94">
        <v>460</v>
      </c>
      <c r="H5" s="104">
        <f>Csabacsűd!AG4</f>
        <v>0</v>
      </c>
      <c r="I5" s="94">
        <f>(E5*F5)+(G5*H5)</f>
        <v>0</v>
      </c>
    </row>
    <row r="6" spans="1:9" ht="30" customHeight="1" x14ac:dyDescent="0.25">
      <c r="A6" s="103" t="s">
        <v>89</v>
      </c>
      <c r="B6" s="93" t="str">
        <f>Csabacsűd!A5</f>
        <v>Fazakasné Halizczki Judit</v>
      </c>
      <c r="C6" s="93" t="str">
        <f>VLOOKUP(B6,többinévsor!$A$2:$C$27,2,FALSE)</f>
        <v>X2000020</v>
      </c>
      <c r="D6" s="93" t="str">
        <f>VLOOKUP(B6,többinévsor!$A$2:$C$27,3,FALSE)</f>
        <v>U0000030321</v>
      </c>
      <c r="E6" s="92">
        <v>380</v>
      </c>
      <c r="F6" s="93">
        <f>Csabacsűd!AG22</f>
        <v>0</v>
      </c>
      <c r="G6" s="94">
        <v>460</v>
      </c>
      <c r="H6" s="104">
        <f>Csabacsűd!AG5</f>
        <v>0</v>
      </c>
      <c r="I6" s="94">
        <f t="shared" ref="I6:I17" si="0">(E6*F6)+(G6*H6)</f>
        <v>0</v>
      </c>
    </row>
    <row r="7" spans="1:9" ht="30" customHeight="1" x14ac:dyDescent="0.25">
      <c r="A7" s="103" t="s">
        <v>90</v>
      </c>
      <c r="B7" s="93" t="str">
        <f>Csabacsűd!A6</f>
        <v>Hudákné Juhos Mária</v>
      </c>
      <c r="C7" s="93" t="str">
        <f>VLOOKUP(B7,többinévsor!$A$2:$C$27,2,FALSE)</f>
        <v>X2000020</v>
      </c>
      <c r="D7" s="93" t="str">
        <f>VLOOKUP(B7,többinévsor!$A$2:$C$27,3,FALSE)</f>
        <v>U0000030321</v>
      </c>
      <c r="E7" s="92">
        <v>380</v>
      </c>
      <c r="F7" s="93">
        <f>Csabacsűd!AG23</f>
        <v>0</v>
      </c>
      <c r="G7" s="94">
        <v>460</v>
      </c>
      <c r="H7" s="104">
        <f>Csabacsűd!AG6</f>
        <v>0</v>
      </c>
      <c r="I7" s="94">
        <f t="shared" si="0"/>
        <v>0</v>
      </c>
    </row>
    <row r="8" spans="1:9" ht="30" customHeight="1" x14ac:dyDescent="0.25">
      <c r="A8" s="103" t="s">
        <v>91</v>
      </c>
      <c r="B8" s="93" t="str">
        <f>Csabacsűd!A7</f>
        <v>Katona Sándorné</v>
      </c>
      <c r="C8" s="93" t="str">
        <f>VLOOKUP(B8,többinévsor!$A$2:$C$27,2,FALSE)</f>
        <v>X2000020</v>
      </c>
      <c r="D8" s="93" t="str">
        <f>VLOOKUP(B8,többinévsor!$A$2:$C$27,3,FALSE)</f>
        <v>U0000030321</v>
      </c>
      <c r="E8" s="92">
        <v>380</v>
      </c>
      <c r="F8" s="93">
        <f>Csabacsűd!AG24</f>
        <v>0</v>
      </c>
      <c r="G8" s="94">
        <v>460</v>
      </c>
      <c r="H8" s="104">
        <f>Csabacsűd!AG7</f>
        <v>0</v>
      </c>
      <c r="I8" s="94">
        <f t="shared" si="0"/>
        <v>0</v>
      </c>
    </row>
    <row r="9" spans="1:9" ht="30" customHeight="1" x14ac:dyDescent="0.25">
      <c r="A9" s="103" t="s">
        <v>134</v>
      </c>
      <c r="B9" s="93" t="str">
        <f>Csabacsűd!A8</f>
        <v>Kovácsné Molnár Katalin</v>
      </c>
      <c r="C9" s="93" t="str">
        <f>VLOOKUP(B9,többinévsor!$A$2:$C$27,2,FALSE)</f>
        <v>X2000020</v>
      </c>
      <c r="D9" s="93" t="str">
        <f>VLOOKUP(B9,többinévsor!$A$2:$C$27,3,FALSE)</f>
        <v>U0000030321</v>
      </c>
      <c r="E9" s="92">
        <v>380</v>
      </c>
      <c r="F9" s="93">
        <f>Csabacsűd!AG25</f>
        <v>0</v>
      </c>
      <c r="G9" s="94">
        <v>460</v>
      </c>
      <c r="H9" s="104">
        <f>Csabacsűd!AG8</f>
        <v>0</v>
      </c>
      <c r="I9" s="94">
        <f t="shared" si="0"/>
        <v>0</v>
      </c>
    </row>
    <row r="10" spans="1:9" ht="30" customHeight="1" x14ac:dyDescent="0.25">
      <c r="A10" s="103" t="s">
        <v>93</v>
      </c>
      <c r="B10" s="93" t="str">
        <f>Csabacsűd!A9</f>
        <v>Lipták Jánosné</v>
      </c>
      <c r="C10" s="93" t="str">
        <f>VLOOKUP(B10,többinévsor!$A$2:$C$27,2,FALSE)</f>
        <v>X2000020</v>
      </c>
      <c r="D10" s="93" t="str">
        <f>VLOOKUP(B10,többinévsor!$A$2:$C$27,3,FALSE)</f>
        <v>U0000030321</v>
      </c>
      <c r="E10" s="92">
        <v>380</v>
      </c>
      <c r="F10" s="93">
        <f>Csabacsűd!AG26</f>
        <v>0</v>
      </c>
      <c r="G10" s="94">
        <v>460</v>
      </c>
      <c r="H10" s="104">
        <f>Csabacsűd!AG9</f>
        <v>0</v>
      </c>
      <c r="I10" s="94">
        <f t="shared" si="0"/>
        <v>0</v>
      </c>
    </row>
    <row r="11" spans="1:9" ht="30" customHeight="1" x14ac:dyDescent="0.25">
      <c r="A11" s="103" t="s">
        <v>94</v>
      </c>
      <c r="B11" s="93" t="str">
        <f>Csabacsűd!A10</f>
        <v>Medvegyné Babarik Erika</v>
      </c>
      <c r="C11" s="93" t="str">
        <f>VLOOKUP(B11,többinévsor!$A$2:$C$27,2,FALSE)</f>
        <v>X2000020</v>
      </c>
      <c r="D11" s="93" t="str">
        <f>VLOOKUP(B11,többinévsor!$A$2:$C$27,3,FALSE)</f>
        <v>U0000030321</v>
      </c>
      <c r="E11" s="92">
        <v>380</v>
      </c>
      <c r="F11" s="93">
        <f>Csabacsűd!AG27</f>
        <v>0</v>
      </c>
      <c r="G11" s="94">
        <v>460</v>
      </c>
      <c r="H11" s="104">
        <f>Csabacsűd!AG10</f>
        <v>0</v>
      </c>
      <c r="I11" s="94">
        <f t="shared" si="0"/>
        <v>0</v>
      </c>
    </row>
    <row r="12" spans="1:9" ht="30" customHeight="1" x14ac:dyDescent="0.25">
      <c r="A12" s="103" t="s">
        <v>95</v>
      </c>
      <c r="B12" s="93" t="str">
        <f>Csabacsűd!A11</f>
        <v>Nemesváriné Papp Katalin</v>
      </c>
      <c r="C12" s="93" t="str">
        <f>VLOOKUP(B12,többinévsor!$A$2:$C$27,2,FALSE)</f>
        <v>X2000020</v>
      </c>
      <c r="D12" s="93" t="str">
        <f>VLOOKUP(B12,többinévsor!$A$2:$C$27,3,FALSE)</f>
        <v>U0000030321</v>
      </c>
      <c r="E12" s="92">
        <v>380</v>
      </c>
      <c r="F12" s="93">
        <f>Csabacsűd!AG28</f>
        <v>0</v>
      </c>
      <c r="G12" s="94">
        <v>460</v>
      </c>
      <c r="H12" s="104">
        <f>Csabacsűd!AG11</f>
        <v>0</v>
      </c>
      <c r="I12" s="94">
        <f t="shared" si="0"/>
        <v>0</v>
      </c>
    </row>
    <row r="13" spans="1:9" ht="30" customHeight="1" x14ac:dyDescent="0.25">
      <c r="A13" s="103" t="s">
        <v>96</v>
      </c>
      <c r="B13" s="93" t="str">
        <f>Csabacsűd!A12</f>
        <v>Pálfiné Török Eszter</v>
      </c>
      <c r="C13" s="93" t="str">
        <f>VLOOKUP(B13,többinévsor!$A$2:$C$27,2,FALSE)</f>
        <v>X2000020</v>
      </c>
      <c r="D13" s="93" t="str">
        <f>VLOOKUP(B13,többinévsor!$A$2:$C$27,3,FALSE)</f>
        <v>U0000030321</v>
      </c>
      <c r="E13" s="92">
        <v>380</v>
      </c>
      <c r="F13" s="93">
        <f>Csabacsűd!AG29</f>
        <v>0</v>
      </c>
      <c r="G13" s="94">
        <v>460</v>
      </c>
      <c r="H13" s="104">
        <f>Csabacsűd!AG12</f>
        <v>0</v>
      </c>
      <c r="I13" s="94">
        <f t="shared" si="0"/>
        <v>0</v>
      </c>
    </row>
    <row r="14" spans="1:9" ht="30" customHeight="1" x14ac:dyDescent="0.25">
      <c r="A14" s="103" t="s">
        <v>98</v>
      </c>
      <c r="B14" s="93" t="str">
        <f>Csabacsűd!A13</f>
        <v>Sepeczán Erzsébet</v>
      </c>
      <c r="C14" s="93" t="str">
        <f>VLOOKUP(B14,többinévsor!$A$2:$C$27,2,FALSE)</f>
        <v>X2000020</v>
      </c>
      <c r="D14" s="93" t="str">
        <f>VLOOKUP(B14,többinévsor!$A$2:$C$27,3,FALSE)</f>
        <v>U0000030321</v>
      </c>
      <c r="E14" s="92">
        <v>380</v>
      </c>
      <c r="F14" s="93">
        <f>Csabacsűd!AG30</f>
        <v>0</v>
      </c>
      <c r="G14" s="94">
        <v>460</v>
      </c>
      <c r="H14" s="104">
        <f>Csabacsűd!AG13</f>
        <v>0</v>
      </c>
      <c r="I14" s="94">
        <f t="shared" si="0"/>
        <v>0</v>
      </c>
    </row>
    <row r="15" spans="1:9" ht="30" customHeight="1" x14ac:dyDescent="0.25">
      <c r="A15" s="103" t="s">
        <v>99</v>
      </c>
      <c r="B15" s="93" t="str">
        <f>Csabacsűd!A14</f>
        <v>Szilágyi Ildikó</v>
      </c>
      <c r="C15" s="93" t="str">
        <f>VLOOKUP(B15,többinévsor!$A$2:$C$27,2,FALSE)</f>
        <v>X2000020</v>
      </c>
      <c r="D15" s="93" t="str">
        <f>VLOOKUP(B15,többinévsor!$A$2:$C$27,3,FALSE)</f>
        <v>U0000030321</v>
      </c>
      <c r="E15" s="92">
        <v>380</v>
      </c>
      <c r="F15" s="93">
        <f>Csabacsűd!AG31</f>
        <v>0</v>
      </c>
      <c r="G15" s="94">
        <v>460</v>
      </c>
      <c r="H15" s="104">
        <f>Csabacsűd!AG14</f>
        <v>0</v>
      </c>
      <c r="I15" s="94">
        <f t="shared" si="0"/>
        <v>0</v>
      </c>
    </row>
    <row r="16" spans="1:9" ht="30" customHeight="1" x14ac:dyDescent="0.25">
      <c r="A16" s="103" t="s">
        <v>100</v>
      </c>
      <c r="B16" s="93" t="str">
        <f>Csabacsűd!A15</f>
        <v>Szurdiné Birkás Éva</v>
      </c>
      <c r="C16" s="93" t="str">
        <f>VLOOKUP(B16,többinévsor!$A$2:$C$27,2,FALSE)</f>
        <v>X2000020</v>
      </c>
      <c r="D16" s="93" t="str">
        <f>VLOOKUP(B16,többinévsor!$A$2:$C$27,3,FALSE)</f>
        <v>U0000030321</v>
      </c>
      <c r="E16" s="92">
        <v>380</v>
      </c>
      <c r="F16" s="93">
        <f>Csabacsűd!AG32</f>
        <v>0</v>
      </c>
      <c r="G16" s="94">
        <v>460</v>
      </c>
      <c r="H16" s="104">
        <f>Csabacsűd!AG15</f>
        <v>0</v>
      </c>
      <c r="I16" s="94">
        <f t="shared" si="0"/>
        <v>0</v>
      </c>
    </row>
    <row r="17" spans="1:9" ht="30" customHeight="1" thickBot="1" x14ac:dyDescent="0.3">
      <c r="A17" s="103" t="s">
        <v>101</v>
      </c>
      <c r="B17" s="93" t="str">
        <f>Csabacsűd!A16</f>
        <v>Tóth Mihályné</v>
      </c>
      <c r="C17" s="93" t="str">
        <f>VLOOKUP(B17,többinévsor!$A$2:$C$27,2,FALSE)</f>
        <v>X2000020</v>
      </c>
      <c r="D17" s="93" t="str">
        <f>VLOOKUP(B17,többinévsor!$A$2:$C$27,3,FALSE)</f>
        <v>U0000030321</v>
      </c>
      <c r="E17" s="92">
        <v>380</v>
      </c>
      <c r="F17" s="93">
        <f>Csabacsűd!AG33</f>
        <v>0</v>
      </c>
      <c r="G17" s="94">
        <v>460</v>
      </c>
      <c r="H17" s="104">
        <f>Csabacsűd!AG16</f>
        <v>0</v>
      </c>
      <c r="I17" s="94">
        <f t="shared" si="0"/>
        <v>0</v>
      </c>
    </row>
    <row r="18" spans="1:9" ht="30" customHeight="1" thickBot="1" x14ac:dyDescent="0.3">
      <c r="A18" s="109"/>
      <c r="B18" s="110" t="s">
        <v>10</v>
      </c>
      <c r="C18" s="110"/>
      <c r="D18" s="110"/>
      <c r="E18" s="111"/>
      <c r="F18" s="115">
        <f>SUM(F5:F17)</f>
        <v>0</v>
      </c>
      <c r="G18" s="111"/>
      <c r="H18" s="113">
        <f>SUM(H5:H17)</f>
        <v>0</v>
      </c>
      <c r="I18" s="114">
        <f>SUM(I5:I17)</f>
        <v>0</v>
      </c>
    </row>
    <row r="19" spans="1:9" x14ac:dyDescent="0.25">
      <c r="A19" s="56"/>
      <c r="B19" s="57"/>
      <c r="C19" s="57"/>
      <c r="D19" s="57"/>
      <c r="E19" s="57"/>
      <c r="F19" s="57"/>
      <c r="G19" s="58"/>
      <c r="H19" s="58"/>
    </row>
    <row r="20" spans="1:9" x14ac:dyDescent="0.25">
      <c r="A20" s="56"/>
      <c r="B20" s="57"/>
      <c r="C20" s="57"/>
      <c r="D20" s="57"/>
      <c r="E20" s="57"/>
      <c r="F20" s="57"/>
      <c r="G20" s="59"/>
      <c r="H20" s="58"/>
    </row>
    <row r="21" spans="1:9" x14ac:dyDescent="0.25">
      <c r="A21" s="58"/>
      <c r="B21" s="57"/>
      <c r="C21" s="57"/>
      <c r="D21" s="57"/>
      <c r="E21" s="57"/>
      <c r="F21" s="57"/>
      <c r="G21" s="58"/>
      <c r="H21" s="58"/>
    </row>
    <row r="22" spans="1:9" ht="15" customHeight="1" x14ac:dyDescent="0.25">
      <c r="A22" s="58"/>
      <c r="B22" s="263" t="s">
        <v>127</v>
      </c>
      <c r="C22" s="263"/>
      <c r="D22" s="263"/>
      <c r="E22" s="263"/>
      <c r="F22" s="263"/>
      <c r="G22" s="263"/>
      <c r="H22" s="264" t="s">
        <v>128</v>
      </c>
      <c r="I22" s="264"/>
    </row>
  </sheetData>
  <mergeCells count="7">
    <mergeCell ref="B22:G22"/>
    <mergeCell ref="H22:I22"/>
    <mergeCell ref="A1:G1"/>
    <mergeCell ref="A2:G2"/>
    <mergeCell ref="A3:B3"/>
    <mergeCell ref="E3:F3"/>
    <mergeCell ref="G3:H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"/>
  <sheetViews>
    <sheetView workbookViewId="0">
      <pane ySplit="1" topLeftCell="A14" activePane="bottomLeft" state="frozen"/>
      <selection pane="bottomLeft" activeCell="AH21" sqref="AH21"/>
    </sheetView>
  </sheetViews>
  <sheetFormatPr defaultRowHeight="15" x14ac:dyDescent="0.25"/>
  <cols>
    <col min="1" max="1" width="37.5703125" style="42" bestFit="1" customWidth="1"/>
    <col min="2" max="32" width="4.42578125" style="42" customWidth="1"/>
    <col min="33" max="33" width="11.7109375" style="42" bestFit="1" customWidth="1"/>
    <col min="34" max="16384" width="9.140625" style="42"/>
  </cols>
  <sheetData>
    <row r="1" spans="1:33" s="41" customFormat="1" ht="19.5" thickBot="1" x14ac:dyDescent="0.35">
      <c r="A1" s="36" t="s">
        <v>190</v>
      </c>
      <c r="B1" s="37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8">
        <v>30</v>
      </c>
      <c r="AF1" s="39">
        <v>31</v>
      </c>
      <c r="AG1" s="40" t="s">
        <v>10</v>
      </c>
    </row>
    <row r="2" spans="1:33" ht="32.25" thickBot="1" x14ac:dyDescent="0.55000000000000004">
      <c r="A2" s="257" t="s">
        <v>188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9"/>
    </row>
    <row r="3" spans="1:33" s="41" customFormat="1" ht="19.5" thickBot="1" x14ac:dyDescent="0.35">
      <c r="A3" s="260" t="s">
        <v>208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2"/>
    </row>
    <row r="4" spans="1:33" ht="27" customHeight="1" thickBot="1" x14ac:dyDescent="0.35">
      <c r="A4" s="26" t="s">
        <v>209</v>
      </c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3"/>
      <c r="AG4" s="43">
        <f>SUM(B4:AF4)</f>
        <v>0</v>
      </c>
    </row>
    <row r="5" spans="1:33" ht="27" customHeight="1" thickBot="1" x14ac:dyDescent="0.35">
      <c r="A5" s="30" t="s">
        <v>210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6"/>
      <c r="AG5" s="44">
        <f>SUM(B5:AF5)</f>
        <v>0</v>
      </c>
    </row>
    <row r="6" spans="1:33" ht="27" customHeight="1" thickBot="1" x14ac:dyDescent="0.35">
      <c r="A6" s="31" t="s">
        <v>211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  <c r="AG6" s="45">
        <f>SUM(B6:AF6)</f>
        <v>0</v>
      </c>
    </row>
    <row r="7" spans="1:33" ht="27" customHeight="1" thickBot="1" x14ac:dyDescent="0.35">
      <c r="A7" s="46" t="s">
        <v>10</v>
      </c>
      <c r="B7" s="70">
        <f>SUM(B4:B6)</f>
        <v>0</v>
      </c>
      <c r="C7" s="70">
        <f t="shared" ref="C7:AF7" si="0">SUM(C4:C6)</f>
        <v>0</v>
      </c>
      <c r="D7" s="70">
        <f t="shared" si="0"/>
        <v>0</v>
      </c>
      <c r="E7" s="70">
        <f t="shared" si="0"/>
        <v>0</v>
      </c>
      <c r="F7" s="70">
        <f t="shared" si="0"/>
        <v>0</v>
      </c>
      <c r="G7" s="70">
        <f t="shared" si="0"/>
        <v>0</v>
      </c>
      <c r="H7" s="70">
        <f t="shared" si="0"/>
        <v>0</v>
      </c>
      <c r="I7" s="70">
        <f t="shared" si="0"/>
        <v>0</v>
      </c>
      <c r="J7" s="70">
        <f t="shared" si="0"/>
        <v>0</v>
      </c>
      <c r="K7" s="70">
        <f t="shared" si="0"/>
        <v>0</v>
      </c>
      <c r="L7" s="70">
        <f t="shared" si="0"/>
        <v>0</v>
      </c>
      <c r="M7" s="70">
        <f t="shared" si="0"/>
        <v>0</v>
      </c>
      <c r="N7" s="70">
        <f t="shared" si="0"/>
        <v>0</v>
      </c>
      <c r="O7" s="70">
        <f t="shared" si="0"/>
        <v>0</v>
      </c>
      <c r="P7" s="70">
        <f t="shared" si="0"/>
        <v>0</v>
      </c>
      <c r="Q7" s="70">
        <f t="shared" si="0"/>
        <v>0</v>
      </c>
      <c r="R7" s="70">
        <f t="shared" si="0"/>
        <v>0</v>
      </c>
      <c r="S7" s="70">
        <f t="shared" si="0"/>
        <v>0</v>
      </c>
      <c r="T7" s="70">
        <f t="shared" si="0"/>
        <v>0</v>
      </c>
      <c r="U7" s="70">
        <f t="shared" si="0"/>
        <v>0</v>
      </c>
      <c r="V7" s="70">
        <f t="shared" si="0"/>
        <v>0</v>
      </c>
      <c r="W7" s="70">
        <f t="shared" si="0"/>
        <v>0</v>
      </c>
      <c r="X7" s="70">
        <f t="shared" si="0"/>
        <v>0</v>
      </c>
      <c r="Y7" s="70">
        <f t="shared" si="0"/>
        <v>0</v>
      </c>
      <c r="Z7" s="70">
        <f t="shared" si="0"/>
        <v>0</v>
      </c>
      <c r="AA7" s="70">
        <f t="shared" si="0"/>
        <v>0</v>
      </c>
      <c r="AB7" s="70">
        <f t="shared" si="0"/>
        <v>0</v>
      </c>
      <c r="AC7" s="70">
        <f t="shared" si="0"/>
        <v>0</v>
      </c>
      <c r="AD7" s="70">
        <f t="shared" si="0"/>
        <v>0</v>
      </c>
      <c r="AE7" s="70">
        <f t="shared" si="0"/>
        <v>0</v>
      </c>
      <c r="AF7" s="70">
        <f t="shared" si="0"/>
        <v>0</v>
      </c>
      <c r="AG7" s="44">
        <f>SUM(AG4:AG6)</f>
        <v>0</v>
      </c>
    </row>
    <row r="8" spans="1:33" ht="19.5" customHeight="1" thickBot="1" x14ac:dyDescent="0.35">
      <c r="A8" s="260" t="s">
        <v>212</v>
      </c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  <c r="AE8" s="261"/>
      <c r="AF8" s="261"/>
      <c r="AG8" s="262"/>
    </row>
    <row r="9" spans="1:33" ht="27" customHeight="1" thickBot="1" x14ac:dyDescent="0.35">
      <c r="A9" s="26" t="s">
        <v>213</v>
      </c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3"/>
      <c r="AG9" s="43">
        <f>SUM(B9:AF9)</f>
        <v>0</v>
      </c>
    </row>
    <row r="10" spans="1:33" ht="27" customHeight="1" thickBot="1" x14ac:dyDescent="0.35">
      <c r="A10" s="30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6"/>
      <c r="AG10" s="44">
        <f>SUM(B10:AF10)</f>
        <v>0</v>
      </c>
    </row>
    <row r="11" spans="1:33" ht="27.75" customHeight="1" thickBot="1" x14ac:dyDescent="0.35">
      <c r="A11" s="31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9"/>
      <c r="AG11" s="45">
        <f>SUM(B11:AF11)</f>
        <v>0</v>
      </c>
    </row>
    <row r="12" spans="1:33" ht="27" customHeight="1" thickBot="1" x14ac:dyDescent="0.35">
      <c r="A12" s="46" t="s">
        <v>10</v>
      </c>
      <c r="B12" s="70">
        <f>SUM(B9:B11)</f>
        <v>0</v>
      </c>
      <c r="C12" s="70">
        <f t="shared" ref="C12:AF12" si="1">SUM(C9:C11)</f>
        <v>0</v>
      </c>
      <c r="D12" s="70">
        <f t="shared" si="1"/>
        <v>0</v>
      </c>
      <c r="E12" s="70">
        <f t="shared" si="1"/>
        <v>0</v>
      </c>
      <c r="F12" s="70">
        <f t="shared" si="1"/>
        <v>0</v>
      </c>
      <c r="G12" s="70">
        <f t="shared" si="1"/>
        <v>0</v>
      </c>
      <c r="H12" s="70">
        <f t="shared" si="1"/>
        <v>0</v>
      </c>
      <c r="I12" s="70">
        <f t="shared" si="1"/>
        <v>0</v>
      </c>
      <c r="J12" s="70">
        <f t="shared" si="1"/>
        <v>0</v>
      </c>
      <c r="K12" s="70">
        <f t="shared" si="1"/>
        <v>0</v>
      </c>
      <c r="L12" s="70">
        <f t="shared" si="1"/>
        <v>0</v>
      </c>
      <c r="M12" s="70">
        <f t="shared" si="1"/>
        <v>0</v>
      </c>
      <c r="N12" s="70">
        <f t="shared" si="1"/>
        <v>0</v>
      </c>
      <c r="O12" s="70">
        <f t="shared" si="1"/>
        <v>0</v>
      </c>
      <c r="P12" s="70">
        <f t="shared" si="1"/>
        <v>0</v>
      </c>
      <c r="Q12" s="70">
        <f t="shared" si="1"/>
        <v>0</v>
      </c>
      <c r="R12" s="70">
        <f t="shared" si="1"/>
        <v>0</v>
      </c>
      <c r="S12" s="70">
        <f t="shared" si="1"/>
        <v>0</v>
      </c>
      <c r="T12" s="70">
        <f t="shared" si="1"/>
        <v>0</v>
      </c>
      <c r="U12" s="70">
        <f t="shared" si="1"/>
        <v>0</v>
      </c>
      <c r="V12" s="70">
        <f t="shared" si="1"/>
        <v>0</v>
      </c>
      <c r="W12" s="70">
        <f t="shared" si="1"/>
        <v>0</v>
      </c>
      <c r="X12" s="70">
        <f t="shared" si="1"/>
        <v>0</v>
      </c>
      <c r="Y12" s="70">
        <f t="shared" si="1"/>
        <v>0</v>
      </c>
      <c r="Z12" s="70">
        <f t="shared" si="1"/>
        <v>0</v>
      </c>
      <c r="AA12" s="70">
        <f t="shared" si="1"/>
        <v>0</v>
      </c>
      <c r="AB12" s="70">
        <f t="shared" si="1"/>
        <v>0</v>
      </c>
      <c r="AC12" s="70">
        <f t="shared" si="1"/>
        <v>0</v>
      </c>
      <c r="AD12" s="70">
        <f t="shared" si="1"/>
        <v>0</v>
      </c>
      <c r="AE12" s="70">
        <f t="shared" si="1"/>
        <v>0</v>
      </c>
      <c r="AF12" s="70">
        <f t="shared" si="1"/>
        <v>0</v>
      </c>
      <c r="AG12" s="44">
        <f>SUM(AG9:AG11)</f>
        <v>0</v>
      </c>
    </row>
    <row r="13" spans="1:33" ht="15.75" thickBot="1" x14ac:dyDescent="0.3"/>
    <row r="14" spans="1:33" ht="32.25" thickBot="1" x14ac:dyDescent="0.55000000000000004">
      <c r="A14" s="257" t="s">
        <v>189</v>
      </c>
      <c r="B14" s="258"/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  <c r="AA14" s="258"/>
      <c r="AB14" s="258"/>
      <c r="AC14" s="258"/>
      <c r="AD14" s="258"/>
      <c r="AE14" s="258"/>
      <c r="AF14" s="258"/>
      <c r="AG14" s="259"/>
    </row>
    <row r="15" spans="1:33" ht="19.5" thickBot="1" x14ac:dyDescent="0.35">
      <c r="A15" s="260" t="s">
        <v>208</v>
      </c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261"/>
      <c r="AE15" s="261"/>
      <c r="AF15" s="261"/>
      <c r="AG15" s="262"/>
    </row>
    <row r="16" spans="1:33" ht="27" customHeight="1" thickBot="1" x14ac:dyDescent="0.35">
      <c r="A16" s="27" t="str">
        <f>A4</f>
        <v>Kisné Galáth Annamária</v>
      </c>
      <c r="B16" s="186"/>
      <c r="C16" s="17"/>
      <c r="D16" s="17"/>
      <c r="E16" s="17"/>
      <c r="F16" s="17"/>
      <c r="G16" s="17"/>
      <c r="H16" s="17"/>
      <c r="I16" s="193"/>
      <c r="J16" s="17"/>
      <c r="K16" s="17"/>
      <c r="L16" s="17"/>
      <c r="M16" s="17"/>
      <c r="N16" s="17"/>
      <c r="O16" s="17"/>
      <c r="P16" s="193"/>
      <c r="Q16" s="17"/>
      <c r="R16" s="17"/>
      <c r="S16" s="17"/>
      <c r="T16" s="17"/>
      <c r="U16" s="17"/>
      <c r="V16" s="193"/>
      <c r="W16" s="193"/>
      <c r="X16" s="17"/>
      <c r="Y16" s="193"/>
      <c r="Z16" s="193"/>
      <c r="AA16" s="193"/>
      <c r="AB16" s="193"/>
      <c r="AC16" s="193"/>
      <c r="AD16" s="193"/>
      <c r="AE16" s="17"/>
      <c r="AF16" s="18"/>
      <c r="AG16" s="49">
        <f>SUM(B16:AF16)</f>
        <v>0</v>
      </c>
    </row>
    <row r="17" spans="1:33" ht="27" customHeight="1" thickBot="1" x14ac:dyDescent="0.35">
      <c r="A17" s="27" t="str">
        <f>A5</f>
        <v>Molnár Györgyné</v>
      </c>
      <c r="B17" s="187"/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189"/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189"/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189"/>
      <c r="W17" s="189"/>
      <c r="X17" s="5">
        <v>1</v>
      </c>
      <c r="Y17" s="189"/>
      <c r="Z17" s="189"/>
      <c r="AA17" s="189"/>
      <c r="AB17" s="189"/>
      <c r="AC17" s="189"/>
      <c r="AD17" s="189"/>
      <c r="AE17" s="5">
        <v>1</v>
      </c>
      <c r="AF17" s="6">
        <v>1</v>
      </c>
      <c r="AG17" s="44">
        <f>SUM(B17:AF17)</f>
        <v>20</v>
      </c>
    </row>
    <row r="18" spans="1:33" ht="27" customHeight="1" thickBot="1" x14ac:dyDescent="0.35">
      <c r="A18" s="27" t="str">
        <f>A6</f>
        <v>Breznyik Zsuzsanna</v>
      </c>
      <c r="B18" s="187"/>
      <c r="C18" s="5"/>
      <c r="D18" s="5"/>
      <c r="E18" s="5"/>
      <c r="F18" s="5"/>
      <c r="G18" s="5"/>
      <c r="H18" s="5"/>
      <c r="I18" s="189"/>
      <c r="J18" s="5"/>
      <c r="K18" s="5"/>
      <c r="L18" s="5"/>
      <c r="M18" s="5"/>
      <c r="N18" s="5"/>
      <c r="O18" s="5"/>
      <c r="P18" s="189"/>
      <c r="Q18" s="5"/>
      <c r="R18" s="5"/>
      <c r="S18" s="5"/>
      <c r="T18" s="5"/>
      <c r="U18" s="5"/>
      <c r="V18" s="189"/>
      <c r="W18" s="189"/>
      <c r="X18" s="5"/>
      <c r="Y18" s="189"/>
      <c r="Z18" s="189"/>
      <c r="AA18" s="189"/>
      <c r="AB18" s="189"/>
      <c r="AC18" s="189"/>
      <c r="AD18" s="189"/>
      <c r="AE18" s="5"/>
      <c r="AF18" s="6"/>
      <c r="AG18" s="44">
        <f>SUM(B18:AF18)</f>
        <v>0</v>
      </c>
    </row>
    <row r="19" spans="1:33" ht="27" customHeight="1" thickBot="1" x14ac:dyDescent="0.35">
      <c r="A19" s="46" t="s">
        <v>10</v>
      </c>
      <c r="B19" s="70">
        <f>SUM(B16:B18)</f>
        <v>0</v>
      </c>
      <c r="C19" s="70">
        <f t="shared" ref="C19:AF19" si="2">SUM(C16:C18)</f>
        <v>1</v>
      </c>
      <c r="D19" s="70">
        <f t="shared" si="2"/>
        <v>1</v>
      </c>
      <c r="E19" s="70">
        <f t="shared" si="2"/>
        <v>1</v>
      </c>
      <c r="F19" s="70">
        <f t="shared" si="2"/>
        <v>1</v>
      </c>
      <c r="G19" s="70">
        <f t="shared" si="2"/>
        <v>1</v>
      </c>
      <c r="H19" s="70"/>
      <c r="I19" s="70">
        <f t="shared" si="2"/>
        <v>0</v>
      </c>
      <c r="J19" s="70">
        <f t="shared" si="2"/>
        <v>1</v>
      </c>
      <c r="K19" s="70">
        <f t="shared" si="2"/>
        <v>1</v>
      </c>
      <c r="L19" s="70">
        <f t="shared" si="2"/>
        <v>1</v>
      </c>
      <c r="M19" s="70">
        <f t="shared" si="2"/>
        <v>1</v>
      </c>
      <c r="N19" s="70">
        <f t="shared" si="2"/>
        <v>1</v>
      </c>
      <c r="O19" s="70">
        <f t="shared" si="2"/>
        <v>1</v>
      </c>
      <c r="P19" s="70">
        <f t="shared" si="2"/>
        <v>0</v>
      </c>
      <c r="Q19" s="70">
        <f t="shared" si="2"/>
        <v>1</v>
      </c>
      <c r="R19" s="70">
        <f t="shared" si="2"/>
        <v>1</v>
      </c>
      <c r="S19" s="70">
        <f t="shared" si="2"/>
        <v>1</v>
      </c>
      <c r="T19" s="70">
        <f t="shared" si="2"/>
        <v>1</v>
      </c>
      <c r="U19" s="70">
        <f t="shared" si="2"/>
        <v>1</v>
      </c>
      <c r="V19" s="70">
        <f t="shared" si="2"/>
        <v>0</v>
      </c>
      <c r="W19" s="70">
        <f t="shared" si="2"/>
        <v>0</v>
      </c>
      <c r="X19" s="70">
        <f t="shared" si="2"/>
        <v>1</v>
      </c>
      <c r="Y19" s="70">
        <f t="shared" si="2"/>
        <v>0</v>
      </c>
      <c r="Z19" s="70">
        <f t="shared" si="2"/>
        <v>0</v>
      </c>
      <c r="AA19" s="70">
        <f t="shared" si="2"/>
        <v>0</v>
      </c>
      <c r="AB19" s="70">
        <f t="shared" si="2"/>
        <v>0</v>
      </c>
      <c r="AC19" s="70">
        <f t="shared" si="2"/>
        <v>0</v>
      </c>
      <c r="AD19" s="70">
        <f t="shared" si="2"/>
        <v>0</v>
      </c>
      <c r="AE19" s="70">
        <f t="shared" si="2"/>
        <v>1</v>
      </c>
      <c r="AF19" s="70">
        <f t="shared" si="2"/>
        <v>1</v>
      </c>
      <c r="AG19" s="44">
        <f>SUM(AG16:AG18)</f>
        <v>20</v>
      </c>
    </row>
    <row r="20" spans="1:33" ht="19.5" thickBot="1" x14ac:dyDescent="0.35">
      <c r="A20" s="283" t="s">
        <v>212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5"/>
    </row>
    <row r="21" spans="1:33" ht="27" customHeight="1" thickBot="1" x14ac:dyDescent="0.35">
      <c r="A21" s="27" t="str">
        <f>A9</f>
        <v>Ipsitsné Gergely Anna</v>
      </c>
      <c r="B21" s="186"/>
      <c r="C21" s="17">
        <v>1</v>
      </c>
      <c r="D21" s="17">
        <v>1</v>
      </c>
      <c r="E21" s="17">
        <v>1</v>
      </c>
      <c r="F21" s="17">
        <v>1</v>
      </c>
      <c r="G21" s="17">
        <v>1</v>
      </c>
      <c r="H21" s="17">
        <v>1</v>
      </c>
      <c r="I21" s="193"/>
      <c r="J21" s="17">
        <v>1</v>
      </c>
      <c r="K21" s="17">
        <v>1</v>
      </c>
      <c r="L21" s="17">
        <v>1</v>
      </c>
      <c r="M21" s="17">
        <v>1</v>
      </c>
      <c r="N21" s="17">
        <v>1</v>
      </c>
      <c r="O21" s="17">
        <v>1</v>
      </c>
      <c r="P21" s="193"/>
      <c r="Q21" s="17">
        <v>1</v>
      </c>
      <c r="R21" s="17">
        <v>1</v>
      </c>
      <c r="S21" s="17">
        <v>1</v>
      </c>
      <c r="T21" s="17">
        <v>1</v>
      </c>
      <c r="U21" s="17">
        <v>1</v>
      </c>
      <c r="V21" s="193"/>
      <c r="W21" s="193"/>
      <c r="X21" s="17">
        <v>1</v>
      </c>
      <c r="Y21" s="193"/>
      <c r="Z21" s="193"/>
      <c r="AA21" s="193"/>
      <c r="AB21" s="193"/>
      <c r="AC21" s="193"/>
      <c r="AD21" s="193"/>
      <c r="AE21" s="17">
        <v>1</v>
      </c>
      <c r="AF21" s="18">
        <v>1</v>
      </c>
      <c r="AG21" s="49">
        <f>SUM(B21:AF21)</f>
        <v>20</v>
      </c>
    </row>
    <row r="22" spans="1:33" ht="27" customHeight="1" thickBot="1" x14ac:dyDescent="0.35">
      <c r="A22" s="27">
        <f>A10</f>
        <v>0</v>
      </c>
      <c r="B22" s="187"/>
      <c r="C22" s="5"/>
      <c r="D22" s="5"/>
      <c r="E22" s="5"/>
      <c r="F22" s="5"/>
      <c r="G22" s="5"/>
      <c r="H22" s="5"/>
      <c r="I22" s="189"/>
      <c r="J22" s="5"/>
      <c r="K22" s="5"/>
      <c r="L22" s="5"/>
      <c r="M22" s="5"/>
      <c r="N22" s="5"/>
      <c r="O22" s="5"/>
      <c r="P22" s="189"/>
      <c r="Q22" s="5"/>
      <c r="R22" s="5"/>
      <c r="S22" s="5"/>
      <c r="T22" s="5"/>
      <c r="U22" s="5"/>
      <c r="V22" s="189"/>
      <c r="W22" s="189"/>
      <c r="X22" s="5"/>
      <c r="Y22" s="189"/>
      <c r="Z22" s="189"/>
      <c r="AA22" s="189"/>
      <c r="AB22" s="189"/>
      <c r="AC22" s="189"/>
      <c r="AD22" s="189"/>
      <c r="AE22" s="5"/>
      <c r="AF22" s="6"/>
      <c r="AG22" s="44">
        <f>SUM(B22:AF22)</f>
        <v>0</v>
      </c>
    </row>
    <row r="23" spans="1:33" ht="27" customHeight="1" thickBot="1" x14ac:dyDescent="0.35">
      <c r="A23" s="27">
        <f>A11</f>
        <v>0</v>
      </c>
      <c r="B23" s="187"/>
      <c r="C23" s="5"/>
      <c r="D23" s="5"/>
      <c r="E23" s="5"/>
      <c r="F23" s="5"/>
      <c r="G23" s="5"/>
      <c r="H23" s="5"/>
      <c r="I23" s="189"/>
      <c r="J23" s="5"/>
      <c r="K23" s="5"/>
      <c r="L23" s="5"/>
      <c r="M23" s="5"/>
      <c r="N23" s="5"/>
      <c r="O23" s="5"/>
      <c r="P23" s="189"/>
      <c r="Q23" s="5"/>
      <c r="R23" s="5"/>
      <c r="S23" s="5"/>
      <c r="T23" s="5"/>
      <c r="U23" s="5"/>
      <c r="V23" s="189"/>
      <c r="W23" s="189"/>
      <c r="X23" s="5"/>
      <c r="Y23" s="189"/>
      <c r="Z23" s="189"/>
      <c r="AA23" s="189"/>
      <c r="AB23" s="189"/>
      <c r="AC23" s="189"/>
      <c r="AD23" s="189"/>
      <c r="AE23" s="5"/>
      <c r="AF23" s="6"/>
      <c r="AG23" s="44">
        <f>SUM(B23:AF23)</f>
        <v>0</v>
      </c>
    </row>
    <row r="24" spans="1:33" ht="27" customHeight="1" thickBot="1" x14ac:dyDescent="0.35">
      <c r="A24" s="46" t="s">
        <v>10</v>
      </c>
      <c r="B24" s="70">
        <f>SUM(B21:B23)</f>
        <v>0</v>
      </c>
      <c r="C24" s="70">
        <f t="shared" ref="C24:AF24" si="3">SUM(C21:C23)</f>
        <v>1</v>
      </c>
      <c r="D24" s="70">
        <f t="shared" si="3"/>
        <v>1</v>
      </c>
      <c r="E24" s="70">
        <f t="shared" si="3"/>
        <v>1</v>
      </c>
      <c r="F24" s="70">
        <f t="shared" si="3"/>
        <v>1</v>
      </c>
      <c r="G24" s="70">
        <f t="shared" si="3"/>
        <v>1</v>
      </c>
      <c r="H24" s="70">
        <f t="shared" si="3"/>
        <v>1</v>
      </c>
      <c r="I24" s="70">
        <f t="shared" si="3"/>
        <v>0</v>
      </c>
      <c r="J24" s="70">
        <f t="shared" si="3"/>
        <v>1</v>
      </c>
      <c r="K24" s="70">
        <f t="shared" si="3"/>
        <v>1</v>
      </c>
      <c r="L24" s="70">
        <f t="shared" si="3"/>
        <v>1</v>
      </c>
      <c r="M24" s="70">
        <f t="shared" si="3"/>
        <v>1</v>
      </c>
      <c r="N24" s="70">
        <f t="shared" si="3"/>
        <v>1</v>
      </c>
      <c r="O24" s="70">
        <f t="shared" si="3"/>
        <v>1</v>
      </c>
      <c r="P24" s="70">
        <f t="shared" si="3"/>
        <v>0</v>
      </c>
      <c r="Q24" s="70">
        <f t="shared" si="3"/>
        <v>1</v>
      </c>
      <c r="R24" s="70">
        <f t="shared" si="3"/>
        <v>1</v>
      </c>
      <c r="S24" s="70">
        <f t="shared" si="3"/>
        <v>1</v>
      </c>
      <c r="T24" s="70">
        <f t="shared" si="3"/>
        <v>1</v>
      </c>
      <c r="U24" s="70">
        <f t="shared" si="3"/>
        <v>1</v>
      </c>
      <c r="V24" s="70">
        <f t="shared" si="3"/>
        <v>0</v>
      </c>
      <c r="W24" s="70">
        <f t="shared" si="3"/>
        <v>0</v>
      </c>
      <c r="X24" s="70">
        <f t="shared" si="3"/>
        <v>1</v>
      </c>
      <c r="Y24" s="70">
        <f t="shared" si="3"/>
        <v>0</v>
      </c>
      <c r="Z24" s="70">
        <f t="shared" si="3"/>
        <v>0</v>
      </c>
      <c r="AA24" s="70">
        <f t="shared" si="3"/>
        <v>0</v>
      </c>
      <c r="AB24" s="70">
        <f t="shared" si="3"/>
        <v>0</v>
      </c>
      <c r="AC24" s="70">
        <f t="shared" si="3"/>
        <v>0</v>
      </c>
      <c r="AD24" s="70">
        <f t="shared" si="3"/>
        <v>0</v>
      </c>
      <c r="AE24" s="70">
        <f t="shared" si="3"/>
        <v>1</v>
      </c>
      <c r="AF24" s="70">
        <f t="shared" si="3"/>
        <v>1</v>
      </c>
      <c r="AG24" s="44">
        <f>SUM(AG21:AG23)</f>
        <v>20</v>
      </c>
    </row>
    <row r="25" spans="1:33" ht="27" customHeight="1" thickBot="1" x14ac:dyDescent="0.3">
      <c r="A25" s="46" t="s">
        <v>186</v>
      </c>
      <c r="B25" s="154">
        <f>SUM(B21:B23)+ SUM(B16:B18)+SUM(B9:B11)+SUM(B4:B6)</f>
        <v>0</v>
      </c>
      <c r="C25" s="154">
        <f t="shared" ref="C25:AF25" si="4">SUM(C21:C23)+ SUM(C16:C18)+SUM(C9:C11)+SUM(C4:C6)</f>
        <v>2</v>
      </c>
      <c r="D25" s="154">
        <f t="shared" si="4"/>
        <v>2</v>
      </c>
      <c r="E25" s="154">
        <f t="shared" si="4"/>
        <v>2</v>
      </c>
      <c r="F25" s="154">
        <f t="shared" si="4"/>
        <v>2</v>
      </c>
      <c r="G25" s="154">
        <f t="shared" si="4"/>
        <v>2</v>
      </c>
      <c r="H25" s="154">
        <f t="shared" si="4"/>
        <v>2</v>
      </c>
      <c r="I25" s="154">
        <f t="shared" si="4"/>
        <v>0</v>
      </c>
      <c r="J25" s="154">
        <f t="shared" si="4"/>
        <v>2</v>
      </c>
      <c r="K25" s="154">
        <f t="shared" si="4"/>
        <v>2</v>
      </c>
      <c r="L25" s="154">
        <f t="shared" si="4"/>
        <v>2</v>
      </c>
      <c r="M25" s="154">
        <f t="shared" si="4"/>
        <v>2</v>
      </c>
      <c r="N25" s="154">
        <f t="shared" si="4"/>
        <v>2</v>
      </c>
      <c r="O25" s="154">
        <f t="shared" si="4"/>
        <v>2</v>
      </c>
      <c r="P25" s="154">
        <f t="shared" si="4"/>
        <v>0</v>
      </c>
      <c r="Q25" s="154">
        <f t="shared" si="4"/>
        <v>2</v>
      </c>
      <c r="R25" s="154">
        <f t="shared" si="4"/>
        <v>2</v>
      </c>
      <c r="S25" s="154">
        <f t="shared" si="4"/>
        <v>2</v>
      </c>
      <c r="T25" s="154">
        <f t="shared" si="4"/>
        <v>2</v>
      </c>
      <c r="U25" s="154">
        <f t="shared" si="4"/>
        <v>2</v>
      </c>
      <c r="V25" s="154">
        <f t="shared" si="4"/>
        <v>0</v>
      </c>
      <c r="W25" s="154">
        <f t="shared" si="4"/>
        <v>0</v>
      </c>
      <c r="X25" s="154">
        <f t="shared" si="4"/>
        <v>2</v>
      </c>
      <c r="Y25" s="154">
        <f t="shared" si="4"/>
        <v>0</v>
      </c>
      <c r="Z25" s="154">
        <f t="shared" si="4"/>
        <v>0</v>
      </c>
      <c r="AA25" s="154">
        <f t="shared" si="4"/>
        <v>0</v>
      </c>
      <c r="AB25" s="154">
        <f t="shared" si="4"/>
        <v>0</v>
      </c>
      <c r="AC25" s="154">
        <f t="shared" si="4"/>
        <v>0</v>
      </c>
      <c r="AD25" s="154">
        <f t="shared" si="4"/>
        <v>0</v>
      </c>
      <c r="AE25" s="154">
        <f t="shared" si="4"/>
        <v>2</v>
      </c>
      <c r="AF25" s="154">
        <f t="shared" si="4"/>
        <v>2</v>
      </c>
      <c r="AG25" s="174">
        <f>AG24+AG19</f>
        <v>40</v>
      </c>
    </row>
  </sheetData>
  <sheetProtection formatCells="0" formatColumns="0"/>
  <mergeCells count="6">
    <mergeCell ref="A20:AG20"/>
    <mergeCell ref="A2:AG2"/>
    <mergeCell ref="A3:AG3"/>
    <mergeCell ref="A14:AG14"/>
    <mergeCell ref="A15:AG15"/>
    <mergeCell ref="A8:AG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"/>
  <sheetViews>
    <sheetView workbookViewId="0">
      <selection sqref="A1:I15"/>
    </sheetView>
  </sheetViews>
  <sheetFormatPr defaultRowHeight="15" x14ac:dyDescent="0.25"/>
  <cols>
    <col min="1" max="1" width="4.140625" style="42" bestFit="1" customWidth="1"/>
    <col min="2" max="2" width="24.85546875" style="42" customWidth="1"/>
    <col min="3" max="3" width="12" style="42" customWidth="1"/>
    <col min="4" max="4" width="16.7109375" style="42" customWidth="1"/>
    <col min="5" max="5" width="10.28515625" style="42" customWidth="1"/>
    <col min="6" max="6" width="11.140625" style="42" customWidth="1"/>
    <col min="7" max="7" width="10.28515625" style="42" customWidth="1"/>
    <col min="8" max="8" width="11.85546875" style="42" customWidth="1"/>
    <col min="9" max="9" width="16.42578125" style="42" customWidth="1"/>
    <col min="10" max="16384" width="9.140625" style="42"/>
  </cols>
  <sheetData>
    <row r="1" spans="1:9" ht="39" customHeight="1" x14ac:dyDescent="0.25">
      <c r="A1" s="265" t="s">
        <v>82</v>
      </c>
      <c r="B1" s="266"/>
      <c r="C1" s="266"/>
      <c r="D1" s="266"/>
      <c r="E1" s="266"/>
      <c r="F1" s="266"/>
      <c r="G1" s="267"/>
      <c r="H1" s="51" t="s">
        <v>83</v>
      </c>
      <c r="I1" s="22" t="s">
        <v>469</v>
      </c>
    </row>
    <row r="2" spans="1:9" ht="25.5" x14ac:dyDescent="0.25">
      <c r="A2" s="268" t="s">
        <v>84</v>
      </c>
      <c r="B2" s="269"/>
      <c r="C2" s="269"/>
      <c r="D2" s="269"/>
      <c r="E2" s="269"/>
      <c r="F2" s="269"/>
      <c r="G2" s="270"/>
      <c r="H2" s="52" t="s">
        <v>37</v>
      </c>
      <c r="I2" s="52"/>
    </row>
    <row r="3" spans="1:9" ht="31.5" customHeight="1" x14ac:dyDescent="0.25">
      <c r="A3" s="271" t="s">
        <v>85</v>
      </c>
      <c r="B3" s="272"/>
      <c r="C3" s="71"/>
      <c r="D3" s="71"/>
      <c r="E3" s="271" t="s">
        <v>183</v>
      </c>
      <c r="F3" s="272"/>
      <c r="G3" s="271" t="s">
        <v>182</v>
      </c>
      <c r="H3" s="272"/>
      <c r="I3" s="52"/>
    </row>
    <row r="4" spans="1:9" ht="45" x14ac:dyDescent="0.25">
      <c r="A4" s="116" t="s">
        <v>133</v>
      </c>
      <c r="B4" s="87" t="s">
        <v>86</v>
      </c>
      <c r="C4" s="87" t="s">
        <v>369</v>
      </c>
      <c r="D4" s="87" t="s">
        <v>368</v>
      </c>
      <c r="E4" s="87" t="s">
        <v>129</v>
      </c>
      <c r="F4" s="87" t="s">
        <v>131</v>
      </c>
      <c r="G4" s="87" t="s">
        <v>130</v>
      </c>
      <c r="H4" s="117" t="s">
        <v>87</v>
      </c>
      <c r="I4" s="87" t="s">
        <v>132</v>
      </c>
    </row>
    <row r="5" spans="1:9" ht="30" customHeight="1" x14ac:dyDescent="0.25">
      <c r="A5" s="103" t="s">
        <v>88</v>
      </c>
      <c r="B5" s="93" t="str">
        <f>Örménykút!A4</f>
        <v>Kisné Galáth Annamária</v>
      </c>
      <c r="C5" s="93" t="str">
        <f>VLOOKUP(B5,többinévsor!$A$2:$C$27,2,FALSE)</f>
        <v>X2000005</v>
      </c>
      <c r="D5" s="93" t="str">
        <f>VLOOKUP(B5,többinévsor!$A$2:$C$27,3,FALSE)</f>
        <v>U0000030302</v>
      </c>
      <c r="E5" s="92">
        <v>380</v>
      </c>
      <c r="F5" s="93">
        <f>Örménykút!AG16</f>
        <v>0</v>
      </c>
      <c r="G5" s="94">
        <v>460</v>
      </c>
      <c r="H5" s="104">
        <f>Örménykút!AG4</f>
        <v>0</v>
      </c>
      <c r="I5" s="94">
        <f>(E5*F5)+(G5*H5)</f>
        <v>0</v>
      </c>
    </row>
    <row r="6" spans="1:9" ht="30" customHeight="1" x14ac:dyDescent="0.25">
      <c r="A6" s="103" t="s">
        <v>89</v>
      </c>
      <c r="B6" s="93" t="str">
        <f>Örménykút!A5</f>
        <v>Molnár Györgyné</v>
      </c>
      <c r="C6" s="93" t="str">
        <f>VLOOKUP(B6,többinévsor!$A$2:$C$27,2,FALSE)</f>
        <v>X2000005</v>
      </c>
      <c r="D6" s="93" t="str">
        <f>VLOOKUP(B6,többinévsor!$A$2:$C$27,3,FALSE)</f>
        <v>U0000030302</v>
      </c>
      <c r="E6" s="92">
        <v>380</v>
      </c>
      <c r="F6" s="93">
        <f>Örménykút!AG17</f>
        <v>20</v>
      </c>
      <c r="G6" s="94">
        <v>460</v>
      </c>
      <c r="H6" s="104">
        <f>Örménykút!AG5</f>
        <v>0</v>
      </c>
      <c r="I6" s="94">
        <f>(E6*F6)+(G6*H6)</f>
        <v>7600</v>
      </c>
    </row>
    <row r="7" spans="1:9" ht="30" customHeight="1" x14ac:dyDescent="0.25">
      <c r="A7" s="103" t="s">
        <v>90</v>
      </c>
      <c r="B7" s="93" t="str">
        <f>Örménykút!A6</f>
        <v>Breznyik Zsuzsanna</v>
      </c>
      <c r="C7" s="93" t="str">
        <f>VLOOKUP(B7,többinévsor!$A$2:$C$27,2,FALSE)</f>
        <v>X2000005</v>
      </c>
      <c r="D7" s="93" t="str">
        <f>VLOOKUP(B7,többinévsor!$A$2:$C$27,3,FALSE)</f>
        <v>U0000030302</v>
      </c>
      <c r="E7" s="92">
        <v>380</v>
      </c>
      <c r="F7" s="93">
        <f>Örménykút!AG18</f>
        <v>0</v>
      </c>
      <c r="G7" s="94">
        <v>460</v>
      </c>
      <c r="H7" s="104">
        <f>Örménykút!AG6</f>
        <v>0</v>
      </c>
      <c r="I7" s="94">
        <f>(E7*F7)+(G7*H7)</f>
        <v>0</v>
      </c>
    </row>
    <row r="8" spans="1:9" ht="30" customHeight="1" x14ac:dyDescent="0.25">
      <c r="A8" s="103" t="s">
        <v>91</v>
      </c>
      <c r="B8" s="93" t="str">
        <f>Örménykút!A9</f>
        <v>Ipsitsné Gergely Anna</v>
      </c>
      <c r="C8" s="93" t="str">
        <f>VLOOKUP(B8,többinévsor!$A$2:$C$27,2,FALSE)</f>
        <v>X2000006</v>
      </c>
      <c r="D8" s="93" t="str">
        <f>VLOOKUP(B8,többinévsor!$A$2:$C$27,3,FALSE)</f>
        <v>U0000030302</v>
      </c>
      <c r="E8" s="92">
        <v>380</v>
      </c>
      <c r="F8" s="93">
        <f>Örménykút!AG21</f>
        <v>20</v>
      </c>
      <c r="G8" s="94">
        <v>460</v>
      </c>
      <c r="H8" s="104">
        <f>Örménykút!AG9</f>
        <v>0</v>
      </c>
      <c r="I8" s="94">
        <f>(E8*F8)+(G8*H8)</f>
        <v>7600</v>
      </c>
    </row>
    <row r="9" spans="1:9" ht="30" customHeight="1" thickBot="1" x14ac:dyDescent="0.3">
      <c r="A9" s="103" t="s">
        <v>106</v>
      </c>
      <c r="B9" s="93">
        <f>Örménykút!A10</f>
        <v>0</v>
      </c>
      <c r="C9" s="93" t="e">
        <f>VLOOKUP(B9,többinévsor!$A$2:$C$27,2,FALSE)</f>
        <v>#N/A</v>
      </c>
      <c r="D9" s="93" t="e">
        <f>VLOOKUP(B9,többinévsor!$A$2:$C$27,3,FALSE)</f>
        <v>#N/A</v>
      </c>
      <c r="E9" s="92">
        <v>380</v>
      </c>
      <c r="F9" s="93">
        <f>Örménykút!AG22</f>
        <v>0</v>
      </c>
      <c r="G9" s="94">
        <v>460</v>
      </c>
      <c r="H9" s="104">
        <f>Örménykút!AG10</f>
        <v>0</v>
      </c>
      <c r="I9" s="94">
        <f>(E9*F9)+(G9*H9)</f>
        <v>0</v>
      </c>
    </row>
    <row r="10" spans="1:9" ht="30" customHeight="1" thickBot="1" x14ac:dyDescent="0.3">
      <c r="A10" s="109"/>
      <c r="B10" s="110" t="s">
        <v>10</v>
      </c>
      <c r="C10" s="110"/>
      <c r="D10" s="110"/>
      <c r="E10" s="111"/>
      <c r="F10" s="115">
        <f>SUM(F5:F9)</f>
        <v>40</v>
      </c>
      <c r="G10" s="111"/>
      <c r="H10" s="113">
        <f>SUM(H5:H9)</f>
        <v>0</v>
      </c>
      <c r="I10" s="114">
        <f>SUM(I5:I9)</f>
        <v>15200</v>
      </c>
    </row>
    <row r="11" spans="1:9" x14ac:dyDescent="0.25">
      <c r="A11" s="56"/>
      <c r="B11" s="57"/>
      <c r="C11" s="57"/>
      <c r="D11" s="57"/>
      <c r="E11" s="57"/>
      <c r="F11" s="57"/>
      <c r="G11" s="58"/>
      <c r="H11" s="58"/>
    </row>
    <row r="12" spans="1:9" x14ac:dyDescent="0.25">
      <c r="A12" s="56"/>
      <c r="B12" s="57"/>
      <c r="C12" s="57"/>
      <c r="D12" s="57"/>
      <c r="E12" s="57"/>
      <c r="F12" s="57"/>
      <c r="G12" s="59"/>
      <c r="H12" s="58"/>
    </row>
    <row r="13" spans="1:9" x14ac:dyDescent="0.25">
      <c r="A13" s="58"/>
      <c r="B13" s="57"/>
      <c r="C13" s="57"/>
      <c r="D13" s="57"/>
      <c r="E13" s="57"/>
      <c r="F13" s="57"/>
      <c r="G13" s="58"/>
      <c r="H13" s="58"/>
    </row>
    <row r="14" spans="1:9" ht="15" customHeight="1" x14ac:dyDescent="0.25">
      <c r="A14" s="58"/>
      <c r="B14" s="263" t="s">
        <v>471</v>
      </c>
      <c r="C14" s="263"/>
      <c r="D14" s="263"/>
      <c r="E14" s="263"/>
      <c r="F14" s="263"/>
      <c r="G14" s="263"/>
      <c r="H14" s="264" t="s">
        <v>128</v>
      </c>
      <c r="I14" s="264"/>
    </row>
  </sheetData>
  <mergeCells count="7">
    <mergeCell ref="B14:G14"/>
    <mergeCell ref="H14:I14"/>
    <mergeCell ref="A1:G1"/>
    <mergeCell ref="A2:G2"/>
    <mergeCell ref="A3:B3"/>
    <mergeCell ref="E3:F3"/>
    <mergeCell ref="G3:H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46"/>
  <sheetViews>
    <sheetView zoomScale="110" zoomScaleNormal="110" workbookViewId="0">
      <pane ySplit="1" topLeftCell="A10" activePane="bottomLeft" state="frozen"/>
      <selection pane="bottomLeft" activeCell="A19" sqref="A19"/>
    </sheetView>
  </sheetViews>
  <sheetFormatPr defaultRowHeight="15" x14ac:dyDescent="0.25"/>
  <cols>
    <col min="1" max="1" width="37.5703125" style="42" bestFit="1" customWidth="1"/>
    <col min="2" max="32" width="4.42578125" style="42" customWidth="1"/>
    <col min="33" max="33" width="11.7109375" style="42" bestFit="1" customWidth="1"/>
    <col min="34" max="16384" width="9.140625" style="42"/>
  </cols>
  <sheetData>
    <row r="1" spans="1:33" s="41" customFormat="1" ht="19.5" thickBot="1" x14ac:dyDescent="0.35">
      <c r="A1" s="36" t="s">
        <v>190</v>
      </c>
      <c r="B1" s="37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8">
        <v>13</v>
      </c>
      <c r="O1" s="38">
        <v>14</v>
      </c>
      <c r="P1" s="38">
        <v>15</v>
      </c>
      <c r="Q1" s="38">
        <v>16</v>
      </c>
      <c r="R1" s="38">
        <v>17</v>
      </c>
      <c r="S1" s="38">
        <v>18</v>
      </c>
      <c r="T1" s="38">
        <v>19</v>
      </c>
      <c r="U1" s="38">
        <v>20</v>
      </c>
      <c r="V1" s="38">
        <v>21</v>
      </c>
      <c r="W1" s="38">
        <v>22</v>
      </c>
      <c r="X1" s="38">
        <v>23</v>
      </c>
      <c r="Y1" s="38">
        <v>24</v>
      </c>
      <c r="Z1" s="38">
        <v>25</v>
      </c>
      <c r="AA1" s="38">
        <v>26</v>
      </c>
      <c r="AB1" s="38">
        <v>27</v>
      </c>
      <c r="AC1" s="38">
        <v>28</v>
      </c>
      <c r="AD1" s="38">
        <v>29</v>
      </c>
      <c r="AE1" s="38">
        <v>30</v>
      </c>
      <c r="AF1" s="39">
        <v>31</v>
      </c>
      <c r="AG1" s="40" t="s">
        <v>10</v>
      </c>
    </row>
    <row r="2" spans="1:33" ht="32.25" thickBot="1" x14ac:dyDescent="0.55000000000000004">
      <c r="A2" s="257" t="s">
        <v>188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9"/>
    </row>
    <row r="3" spans="1:33" s="41" customFormat="1" ht="19.5" thickBot="1" x14ac:dyDescent="0.35">
      <c r="A3" s="260" t="s">
        <v>339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2"/>
    </row>
    <row r="4" spans="1:33" ht="27" customHeight="1" thickBot="1" x14ac:dyDescent="0.35">
      <c r="A4" s="24" t="s">
        <v>214</v>
      </c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49">
        <f>SUM(B4:AF4)</f>
        <v>0</v>
      </c>
    </row>
    <row r="5" spans="1:33" ht="27" customHeight="1" thickBot="1" x14ac:dyDescent="0.35">
      <c r="A5" s="25" t="s">
        <v>215</v>
      </c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"/>
      <c r="AG5" s="49">
        <f>SUM(B5:AF5)</f>
        <v>0</v>
      </c>
    </row>
    <row r="6" spans="1:33" ht="27" customHeight="1" thickBot="1" x14ac:dyDescent="0.35">
      <c r="A6" s="24" t="s">
        <v>216</v>
      </c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49">
        <f>SUM(B6:AF6)</f>
        <v>0</v>
      </c>
    </row>
    <row r="7" spans="1:33" ht="27" customHeight="1" thickBot="1" x14ac:dyDescent="0.35">
      <c r="A7" s="46" t="s">
        <v>10</v>
      </c>
      <c r="B7" s="70">
        <f>SUM(B4:B6)</f>
        <v>0</v>
      </c>
      <c r="C7" s="70">
        <f t="shared" ref="C7:AF7" si="0">SUM(C4:C6)</f>
        <v>0</v>
      </c>
      <c r="D7" s="70">
        <f t="shared" si="0"/>
        <v>0</v>
      </c>
      <c r="E7" s="70">
        <f t="shared" si="0"/>
        <v>0</v>
      </c>
      <c r="F7" s="70">
        <f t="shared" si="0"/>
        <v>0</v>
      </c>
      <c r="G7" s="70">
        <f t="shared" si="0"/>
        <v>0</v>
      </c>
      <c r="H7" s="70">
        <f t="shared" si="0"/>
        <v>0</v>
      </c>
      <c r="I7" s="70">
        <f t="shared" si="0"/>
        <v>0</v>
      </c>
      <c r="J7" s="70">
        <f t="shared" si="0"/>
        <v>0</v>
      </c>
      <c r="K7" s="70">
        <f t="shared" si="0"/>
        <v>0</v>
      </c>
      <c r="L7" s="70">
        <f t="shared" si="0"/>
        <v>0</v>
      </c>
      <c r="M7" s="70">
        <f t="shared" si="0"/>
        <v>0</v>
      </c>
      <c r="N7" s="70">
        <f t="shared" si="0"/>
        <v>0</v>
      </c>
      <c r="O7" s="70">
        <f t="shared" si="0"/>
        <v>0</v>
      </c>
      <c r="P7" s="70">
        <f t="shared" si="0"/>
        <v>0</v>
      </c>
      <c r="Q7" s="70">
        <f t="shared" si="0"/>
        <v>0</v>
      </c>
      <c r="R7" s="70">
        <f t="shared" si="0"/>
        <v>0</v>
      </c>
      <c r="S7" s="70">
        <f t="shared" si="0"/>
        <v>0</v>
      </c>
      <c r="T7" s="70">
        <f t="shared" si="0"/>
        <v>0</v>
      </c>
      <c r="U7" s="70">
        <f t="shared" si="0"/>
        <v>0</v>
      </c>
      <c r="V7" s="70">
        <f t="shared" si="0"/>
        <v>0</v>
      </c>
      <c r="W7" s="70">
        <f t="shared" si="0"/>
        <v>0</v>
      </c>
      <c r="X7" s="70">
        <f t="shared" si="0"/>
        <v>0</v>
      </c>
      <c r="Y7" s="70">
        <f t="shared" si="0"/>
        <v>0</v>
      </c>
      <c r="Z7" s="70">
        <f t="shared" si="0"/>
        <v>0</v>
      </c>
      <c r="AA7" s="70">
        <f t="shared" si="0"/>
        <v>0</v>
      </c>
      <c r="AB7" s="70">
        <f t="shared" si="0"/>
        <v>0</v>
      </c>
      <c r="AC7" s="70">
        <f t="shared" si="0"/>
        <v>0</v>
      </c>
      <c r="AD7" s="70">
        <f t="shared" si="0"/>
        <v>0</v>
      </c>
      <c r="AE7" s="70">
        <f t="shared" si="0"/>
        <v>0</v>
      </c>
      <c r="AF7" s="70">
        <f t="shared" si="0"/>
        <v>0</v>
      </c>
      <c r="AG7" s="44">
        <f>SUM(AG4:AG6)</f>
        <v>0</v>
      </c>
    </row>
    <row r="8" spans="1:33" s="41" customFormat="1" ht="19.5" thickBot="1" x14ac:dyDescent="0.35">
      <c r="A8" s="260" t="s">
        <v>340</v>
      </c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  <c r="AE8" s="261"/>
      <c r="AF8" s="261"/>
      <c r="AG8" s="262"/>
    </row>
    <row r="9" spans="1:33" ht="27" customHeight="1" thickBot="1" x14ac:dyDescent="0.35">
      <c r="A9" s="24" t="s">
        <v>217</v>
      </c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49">
        <f t="shared" ref="AG9:AG85" si="1">SUM(B9:AF9)</f>
        <v>0</v>
      </c>
    </row>
    <row r="10" spans="1:33" ht="27" customHeight="1" thickBot="1" x14ac:dyDescent="0.35">
      <c r="A10" s="46" t="s">
        <v>10</v>
      </c>
      <c r="B10" s="70">
        <f>SUM(B9)</f>
        <v>0</v>
      </c>
      <c r="C10" s="70">
        <f t="shared" ref="C10:AF10" si="2">SUM(C9)</f>
        <v>0</v>
      </c>
      <c r="D10" s="70">
        <f t="shared" si="2"/>
        <v>0</v>
      </c>
      <c r="E10" s="70">
        <f t="shared" si="2"/>
        <v>0</v>
      </c>
      <c r="F10" s="70">
        <f t="shared" si="2"/>
        <v>0</v>
      </c>
      <c r="G10" s="70">
        <f t="shared" si="2"/>
        <v>0</v>
      </c>
      <c r="H10" s="70">
        <f t="shared" si="2"/>
        <v>0</v>
      </c>
      <c r="I10" s="70">
        <f t="shared" si="2"/>
        <v>0</v>
      </c>
      <c r="J10" s="70">
        <f t="shared" si="2"/>
        <v>0</v>
      </c>
      <c r="K10" s="70">
        <f t="shared" si="2"/>
        <v>0</v>
      </c>
      <c r="L10" s="70">
        <f t="shared" si="2"/>
        <v>0</v>
      </c>
      <c r="M10" s="70">
        <f t="shared" si="2"/>
        <v>0</v>
      </c>
      <c r="N10" s="70">
        <f t="shared" si="2"/>
        <v>0</v>
      </c>
      <c r="O10" s="70">
        <f t="shared" si="2"/>
        <v>0</v>
      </c>
      <c r="P10" s="70">
        <f t="shared" si="2"/>
        <v>0</v>
      </c>
      <c r="Q10" s="70">
        <f t="shared" si="2"/>
        <v>0</v>
      </c>
      <c r="R10" s="70">
        <f t="shared" si="2"/>
        <v>0</v>
      </c>
      <c r="S10" s="70">
        <f t="shared" si="2"/>
        <v>0</v>
      </c>
      <c r="T10" s="70">
        <f t="shared" si="2"/>
        <v>0</v>
      </c>
      <c r="U10" s="70">
        <f t="shared" si="2"/>
        <v>0</v>
      </c>
      <c r="V10" s="70">
        <f t="shared" si="2"/>
        <v>0</v>
      </c>
      <c r="W10" s="70">
        <f t="shared" si="2"/>
        <v>0</v>
      </c>
      <c r="X10" s="70">
        <f t="shared" si="2"/>
        <v>0</v>
      </c>
      <c r="Y10" s="70">
        <f t="shared" si="2"/>
        <v>0</v>
      </c>
      <c r="Z10" s="70">
        <f t="shared" si="2"/>
        <v>0</v>
      </c>
      <c r="AA10" s="70">
        <f t="shared" si="2"/>
        <v>0</v>
      </c>
      <c r="AB10" s="70">
        <f t="shared" si="2"/>
        <v>0</v>
      </c>
      <c r="AC10" s="70">
        <f t="shared" si="2"/>
        <v>0</v>
      </c>
      <c r="AD10" s="70">
        <f t="shared" si="2"/>
        <v>0</v>
      </c>
      <c r="AE10" s="70">
        <f t="shared" si="2"/>
        <v>0</v>
      </c>
      <c r="AF10" s="70">
        <f t="shared" si="2"/>
        <v>0</v>
      </c>
      <c r="AG10" s="44">
        <f>SUM(AG9)</f>
        <v>0</v>
      </c>
    </row>
    <row r="11" spans="1:33" s="41" customFormat="1" ht="19.5" thickBot="1" x14ac:dyDescent="0.35">
      <c r="A11" s="260" t="s">
        <v>341</v>
      </c>
      <c r="B11" s="261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  <c r="AE11" s="261"/>
      <c r="AF11" s="261"/>
      <c r="AG11" s="262"/>
    </row>
    <row r="12" spans="1:33" ht="27" customHeight="1" thickBot="1" x14ac:dyDescent="0.35">
      <c r="A12" s="24" t="s">
        <v>218</v>
      </c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8"/>
      <c r="AG12" s="49">
        <f t="shared" si="1"/>
        <v>0</v>
      </c>
    </row>
    <row r="13" spans="1:33" ht="27" customHeight="1" thickBot="1" x14ac:dyDescent="0.35">
      <c r="A13" s="46" t="s">
        <v>10</v>
      </c>
      <c r="B13" s="70">
        <f>SUM(B12)</f>
        <v>0</v>
      </c>
      <c r="C13" s="70">
        <f t="shared" ref="C13:AF13" si="3">SUM(C12)</f>
        <v>0</v>
      </c>
      <c r="D13" s="70">
        <f t="shared" si="3"/>
        <v>0</v>
      </c>
      <c r="E13" s="70">
        <f t="shared" si="3"/>
        <v>0</v>
      </c>
      <c r="F13" s="70">
        <f t="shared" si="3"/>
        <v>0</v>
      </c>
      <c r="G13" s="70">
        <f t="shared" si="3"/>
        <v>0</v>
      </c>
      <c r="H13" s="70">
        <f t="shared" si="3"/>
        <v>0</v>
      </c>
      <c r="I13" s="70">
        <f t="shared" si="3"/>
        <v>0</v>
      </c>
      <c r="J13" s="70">
        <f t="shared" si="3"/>
        <v>0</v>
      </c>
      <c r="K13" s="70">
        <f t="shared" si="3"/>
        <v>0</v>
      </c>
      <c r="L13" s="70">
        <f t="shared" si="3"/>
        <v>0</v>
      </c>
      <c r="M13" s="70">
        <f t="shared" si="3"/>
        <v>0</v>
      </c>
      <c r="N13" s="70">
        <f t="shared" si="3"/>
        <v>0</v>
      </c>
      <c r="O13" s="70">
        <f t="shared" si="3"/>
        <v>0</v>
      </c>
      <c r="P13" s="70">
        <f t="shared" si="3"/>
        <v>0</v>
      </c>
      <c r="Q13" s="70">
        <f t="shared" si="3"/>
        <v>0</v>
      </c>
      <c r="R13" s="70">
        <f t="shared" si="3"/>
        <v>0</v>
      </c>
      <c r="S13" s="70">
        <f t="shared" si="3"/>
        <v>0</v>
      </c>
      <c r="T13" s="70">
        <f t="shared" si="3"/>
        <v>0</v>
      </c>
      <c r="U13" s="70">
        <f t="shared" si="3"/>
        <v>0</v>
      </c>
      <c r="V13" s="70">
        <f t="shared" si="3"/>
        <v>0</v>
      </c>
      <c r="W13" s="70">
        <f t="shared" si="3"/>
        <v>0</v>
      </c>
      <c r="X13" s="70">
        <f t="shared" si="3"/>
        <v>0</v>
      </c>
      <c r="Y13" s="70">
        <f t="shared" si="3"/>
        <v>0</v>
      </c>
      <c r="Z13" s="70">
        <f t="shared" si="3"/>
        <v>0</v>
      </c>
      <c r="AA13" s="70">
        <f t="shared" si="3"/>
        <v>0</v>
      </c>
      <c r="AB13" s="70">
        <f t="shared" si="3"/>
        <v>0</v>
      </c>
      <c r="AC13" s="70">
        <f t="shared" si="3"/>
        <v>0</v>
      </c>
      <c r="AD13" s="70">
        <f t="shared" si="3"/>
        <v>0</v>
      </c>
      <c r="AE13" s="70">
        <f t="shared" si="3"/>
        <v>0</v>
      </c>
      <c r="AF13" s="70">
        <f t="shared" si="3"/>
        <v>0</v>
      </c>
      <c r="AG13" s="44">
        <f>SUM(AG12)</f>
        <v>0</v>
      </c>
    </row>
    <row r="14" spans="1:33" s="41" customFormat="1" ht="19.5" thickBot="1" x14ac:dyDescent="0.35">
      <c r="A14" s="260" t="s">
        <v>342</v>
      </c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2"/>
    </row>
    <row r="15" spans="1:33" ht="27" customHeight="1" thickBot="1" x14ac:dyDescent="0.35">
      <c r="A15" s="170" t="s">
        <v>219</v>
      </c>
      <c r="B15" s="236"/>
      <c r="C15" s="17"/>
      <c r="D15" s="17"/>
      <c r="E15" s="17"/>
      <c r="F15" s="17"/>
      <c r="G15" s="17"/>
      <c r="H15" s="17"/>
      <c r="I15" s="241"/>
      <c r="J15" s="17"/>
      <c r="K15" s="17"/>
      <c r="L15" s="17"/>
      <c r="M15" s="17"/>
      <c r="N15" s="17"/>
      <c r="O15" s="17"/>
      <c r="P15" s="241"/>
      <c r="Q15" s="17"/>
      <c r="R15" s="17"/>
      <c r="S15" s="17"/>
      <c r="T15" s="17"/>
      <c r="U15" s="17"/>
      <c r="V15" s="241"/>
      <c r="W15" s="241"/>
      <c r="X15" s="17"/>
      <c r="Y15" s="241"/>
      <c r="Z15" s="241"/>
      <c r="AA15" s="241"/>
      <c r="AB15" s="241"/>
      <c r="AC15" s="241"/>
      <c r="AD15" s="241"/>
      <c r="AE15" s="17"/>
      <c r="AF15" s="18"/>
      <c r="AG15" s="44">
        <f t="shared" si="1"/>
        <v>0</v>
      </c>
    </row>
    <row r="16" spans="1:33" ht="27" customHeight="1" thickBot="1" x14ac:dyDescent="0.35">
      <c r="A16" s="24" t="s">
        <v>318</v>
      </c>
      <c r="B16" s="236"/>
      <c r="C16" s="17"/>
      <c r="D16" s="17"/>
      <c r="E16" s="17"/>
      <c r="F16" s="17"/>
      <c r="G16" s="17"/>
      <c r="H16" s="17"/>
      <c r="I16" s="241"/>
      <c r="J16" s="17"/>
      <c r="K16" s="17"/>
      <c r="L16" s="17"/>
      <c r="M16" s="17"/>
      <c r="N16" s="17"/>
      <c r="O16" s="17"/>
      <c r="P16" s="241"/>
      <c r="Q16" s="17"/>
      <c r="R16" s="17"/>
      <c r="S16" s="17"/>
      <c r="T16" s="17"/>
      <c r="U16" s="17"/>
      <c r="V16" s="241"/>
      <c r="W16" s="241"/>
      <c r="X16" s="17"/>
      <c r="Y16" s="241"/>
      <c r="Z16" s="241"/>
      <c r="AA16" s="241"/>
      <c r="AB16" s="241"/>
      <c r="AC16" s="241"/>
      <c r="AD16" s="241"/>
      <c r="AE16" s="17"/>
      <c r="AF16" s="18"/>
      <c r="AG16" s="44">
        <f t="shared" si="1"/>
        <v>0</v>
      </c>
    </row>
    <row r="17" spans="1:33" ht="27" customHeight="1" thickBot="1" x14ac:dyDescent="0.35">
      <c r="A17" s="171" t="s">
        <v>220</v>
      </c>
      <c r="B17" s="237"/>
      <c r="C17" s="138"/>
      <c r="D17" s="138"/>
      <c r="E17" s="138"/>
      <c r="F17" s="138"/>
      <c r="G17" s="138"/>
      <c r="H17" s="138"/>
      <c r="I17" s="242"/>
      <c r="J17" s="138"/>
      <c r="K17" s="138"/>
      <c r="L17" s="138"/>
      <c r="M17" s="138"/>
      <c r="N17" s="138"/>
      <c r="O17" s="138"/>
      <c r="P17" s="242"/>
      <c r="Q17" s="138"/>
      <c r="R17" s="138"/>
      <c r="S17" s="138"/>
      <c r="T17" s="138"/>
      <c r="U17" s="138"/>
      <c r="V17" s="242"/>
      <c r="W17" s="242"/>
      <c r="X17" s="138"/>
      <c r="Y17" s="242"/>
      <c r="Z17" s="242"/>
      <c r="AA17" s="242"/>
      <c r="AB17" s="242"/>
      <c r="AC17" s="242"/>
      <c r="AD17" s="242"/>
      <c r="AE17" s="138"/>
      <c r="AF17" s="163"/>
      <c r="AG17" s="44">
        <f t="shared" si="1"/>
        <v>0</v>
      </c>
    </row>
    <row r="18" spans="1:33" ht="27" customHeight="1" thickBot="1" x14ac:dyDescent="0.35">
      <c r="A18" s="67" t="s">
        <v>438</v>
      </c>
      <c r="B18" s="238"/>
      <c r="C18" s="5"/>
      <c r="D18" s="5"/>
      <c r="E18" s="5"/>
      <c r="F18" s="5"/>
      <c r="G18" s="5"/>
      <c r="H18" s="5"/>
      <c r="I18" s="243"/>
      <c r="J18" s="5"/>
      <c r="K18" s="5"/>
      <c r="L18" s="5"/>
      <c r="M18" s="5"/>
      <c r="N18" s="5"/>
      <c r="O18" s="5"/>
      <c r="P18" s="243"/>
      <c r="Q18" s="5"/>
      <c r="R18" s="5"/>
      <c r="S18" s="5"/>
      <c r="T18" s="5"/>
      <c r="U18" s="5"/>
      <c r="V18" s="243"/>
      <c r="W18" s="243"/>
      <c r="X18" s="5"/>
      <c r="Y18" s="243"/>
      <c r="Z18" s="243"/>
      <c r="AA18" s="243"/>
      <c r="AB18" s="243"/>
      <c r="AC18" s="243"/>
      <c r="AD18" s="243"/>
      <c r="AE18" s="5"/>
      <c r="AF18" s="5"/>
      <c r="AG18" s="44">
        <f t="shared" si="1"/>
        <v>0</v>
      </c>
    </row>
    <row r="19" spans="1:33" ht="27" customHeight="1" thickBot="1" x14ac:dyDescent="0.35">
      <c r="A19" s="67" t="s">
        <v>468</v>
      </c>
      <c r="B19" s="238"/>
      <c r="C19" s="5"/>
      <c r="D19" s="5"/>
      <c r="E19" s="5"/>
      <c r="F19" s="5"/>
      <c r="G19" s="5"/>
      <c r="H19" s="5"/>
      <c r="I19" s="243"/>
      <c r="J19" s="5"/>
      <c r="K19" s="5"/>
      <c r="L19" s="5"/>
      <c r="M19" s="5"/>
      <c r="N19" s="5"/>
      <c r="O19" s="5"/>
      <c r="P19" s="243"/>
      <c r="Q19" s="5"/>
      <c r="R19" s="5"/>
      <c r="S19" s="5"/>
      <c r="T19" s="5"/>
      <c r="U19" s="5"/>
      <c r="V19" s="243"/>
      <c r="W19" s="243"/>
      <c r="X19" s="5"/>
      <c r="Y19" s="243"/>
      <c r="Z19" s="243"/>
      <c r="AA19" s="243"/>
      <c r="AB19" s="243"/>
      <c r="AC19" s="243"/>
      <c r="AD19" s="243"/>
      <c r="AE19" s="5"/>
      <c r="AF19" s="5"/>
      <c r="AG19" s="44">
        <f t="shared" si="1"/>
        <v>0</v>
      </c>
    </row>
    <row r="20" spans="1:33" ht="27" customHeight="1" thickBot="1" x14ac:dyDescent="0.35">
      <c r="A20" s="67" t="s">
        <v>439</v>
      </c>
      <c r="B20" s="238"/>
      <c r="C20" s="5"/>
      <c r="D20" s="5"/>
      <c r="E20" s="5"/>
      <c r="F20" s="5"/>
      <c r="G20" s="5"/>
      <c r="H20" s="5"/>
      <c r="I20" s="243"/>
      <c r="J20" s="5"/>
      <c r="K20" s="5"/>
      <c r="L20" s="5"/>
      <c r="M20" s="5"/>
      <c r="N20" s="5"/>
      <c r="O20" s="5"/>
      <c r="P20" s="243"/>
      <c r="Q20" s="5"/>
      <c r="R20" s="5"/>
      <c r="S20" s="5"/>
      <c r="T20" s="5"/>
      <c r="U20" s="5"/>
      <c r="V20" s="243"/>
      <c r="W20" s="243"/>
      <c r="X20" s="5"/>
      <c r="Y20" s="243"/>
      <c r="Z20" s="243"/>
      <c r="AA20" s="243"/>
      <c r="AB20" s="243"/>
      <c r="AC20" s="243"/>
      <c r="AD20" s="243"/>
      <c r="AE20" s="5"/>
      <c r="AF20" s="5"/>
      <c r="AG20" s="44">
        <f t="shared" si="1"/>
        <v>0</v>
      </c>
    </row>
    <row r="21" spans="1:33" ht="27" customHeight="1" thickBot="1" x14ac:dyDescent="0.35">
      <c r="A21" s="67" t="s">
        <v>457</v>
      </c>
      <c r="B21" s="238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243">
        <v>1</v>
      </c>
      <c r="J21" s="5">
        <v>1</v>
      </c>
      <c r="K21" s="5"/>
      <c r="L21" s="5">
        <v>1</v>
      </c>
      <c r="M21" s="5">
        <v>1</v>
      </c>
      <c r="N21" s="5">
        <v>1</v>
      </c>
      <c r="O21" s="5">
        <v>1</v>
      </c>
      <c r="P21" s="243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243">
        <v>1</v>
      </c>
      <c r="W21" s="243">
        <v>1</v>
      </c>
      <c r="X21" s="5">
        <v>1</v>
      </c>
      <c r="Y21" s="243">
        <v>1</v>
      </c>
      <c r="Z21" s="243">
        <v>1</v>
      </c>
      <c r="AA21" s="243">
        <v>1</v>
      </c>
      <c r="AB21" s="243">
        <v>1</v>
      </c>
      <c r="AC21" s="243">
        <v>1</v>
      </c>
      <c r="AD21" s="243">
        <v>1</v>
      </c>
      <c r="AE21" s="5">
        <v>1</v>
      </c>
      <c r="AF21" s="5">
        <v>1</v>
      </c>
      <c r="AG21" s="44">
        <f t="shared" si="1"/>
        <v>30</v>
      </c>
    </row>
    <row r="22" spans="1:33" ht="27" customHeight="1" thickBot="1" x14ac:dyDescent="0.35">
      <c r="A22" s="67"/>
      <c r="B22" s="238"/>
      <c r="C22" s="5"/>
      <c r="D22" s="5"/>
      <c r="E22" s="5"/>
      <c r="F22" s="5"/>
      <c r="G22" s="5"/>
      <c r="H22" s="5"/>
      <c r="I22" s="243"/>
      <c r="J22" s="5"/>
      <c r="K22" s="5"/>
      <c r="L22" s="5"/>
      <c r="M22" s="5"/>
      <c r="N22" s="5"/>
      <c r="O22" s="5"/>
      <c r="P22" s="243"/>
      <c r="Q22" s="5"/>
      <c r="R22" s="5"/>
      <c r="S22" s="5"/>
      <c r="T22" s="5"/>
      <c r="U22" s="5"/>
      <c r="V22" s="243"/>
      <c r="W22" s="243"/>
      <c r="X22" s="5"/>
      <c r="Y22" s="243"/>
      <c r="Z22" s="243"/>
      <c r="AA22" s="243"/>
      <c r="AB22" s="243"/>
      <c r="AC22" s="243"/>
      <c r="AD22" s="243"/>
      <c r="AE22" s="5"/>
      <c r="AF22" s="5"/>
      <c r="AG22" s="44">
        <f t="shared" si="1"/>
        <v>0</v>
      </c>
    </row>
    <row r="23" spans="1:33" ht="27" customHeight="1" thickBot="1" x14ac:dyDescent="0.35">
      <c r="A23" s="67"/>
      <c r="B23" s="238"/>
      <c r="C23" s="5"/>
      <c r="D23" s="5"/>
      <c r="E23" s="5"/>
      <c r="F23" s="5"/>
      <c r="G23" s="5"/>
      <c r="H23" s="5"/>
      <c r="I23" s="243"/>
      <c r="J23" s="5"/>
      <c r="K23" s="5"/>
      <c r="L23" s="5"/>
      <c r="M23" s="5"/>
      <c r="N23" s="5"/>
      <c r="O23" s="5"/>
      <c r="P23" s="243"/>
      <c r="Q23" s="5"/>
      <c r="R23" s="5"/>
      <c r="S23" s="5"/>
      <c r="T23" s="5"/>
      <c r="U23" s="5"/>
      <c r="V23" s="243"/>
      <c r="W23" s="243"/>
      <c r="X23" s="5"/>
      <c r="Y23" s="243"/>
      <c r="Z23" s="243"/>
      <c r="AA23" s="243"/>
      <c r="AB23" s="243"/>
      <c r="AC23" s="243"/>
      <c r="AD23" s="243"/>
      <c r="AE23" s="5"/>
      <c r="AF23" s="5"/>
      <c r="AG23" s="44">
        <f t="shared" si="1"/>
        <v>0</v>
      </c>
    </row>
    <row r="24" spans="1:33" ht="27" customHeight="1" thickBot="1" x14ac:dyDescent="0.35">
      <c r="A24" s="68"/>
      <c r="B24" s="239"/>
      <c r="C24" s="23"/>
      <c r="D24" s="23"/>
      <c r="E24" s="23"/>
      <c r="F24" s="23"/>
      <c r="G24" s="23"/>
      <c r="H24" s="23"/>
      <c r="I24" s="244"/>
      <c r="J24" s="23"/>
      <c r="K24" s="23"/>
      <c r="L24" s="23"/>
      <c r="M24" s="23"/>
      <c r="N24" s="23"/>
      <c r="O24" s="23"/>
      <c r="P24" s="244"/>
      <c r="Q24" s="23"/>
      <c r="R24" s="23"/>
      <c r="S24" s="23"/>
      <c r="T24" s="23"/>
      <c r="U24" s="23"/>
      <c r="V24" s="244"/>
      <c r="W24" s="244"/>
      <c r="X24" s="23"/>
      <c r="Y24" s="244"/>
      <c r="Z24" s="244"/>
      <c r="AA24" s="244"/>
      <c r="AB24" s="244"/>
      <c r="AC24" s="244"/>
      <c r="AD24" s="244"/>
      <c r="AE24" s="23"/>
      <c r="AF24" s="66"/>
      <c r="AG24" s="44">
        <f t="shared" si="1"/>
        <v>0</v>
      </c>
    </row>
    <row r="25" spans="1:33" ht="27" customHeight="1" thickBot="1" x14ac:dyDescent="0.35">
      <c r="A25" s="46" t="s">
        <v>10</v>
      </c>
      <c r="B25" s="240">
        <f>SUM(B15:B24)</f>
        <v>1</v>
      </c>
      <c r="C25" s="70">
        <f t="shared" ref="C25:AF25" si="4">SUM(C15:C24)</f>
        <v>1</v>
      </c>
      <c r="D25" s="70">
        <f t="shared" si="4"/>
        <v>1</v>
      </c>
      <c r="E25" s="70">
        <f t="shared" si="4"/>
        <v>1</v>
      </c>
      <c r="F25" s="70">
        <f t="shared" si="4"/>
        <v>1</v>
      </c>
      <c r="G25" s="70">
        <f t="shared" si="4"/>
        <v>1</v>
      </c>
      <c r="H25" s="70">
        <f t="shared" si="4"/>
        <v>1</v>
      </c>
      <c r="I25" s="240">
        <f t="shared" si="4"/>
        <v>1</v>
      </c>
      <c r="J25" s="70">
        <f t="shared" si="4"/>
        <v>1</v>
      </c>
      <c r="K25" s="70">
        <f t="shared" si="4"/>
        <v>0</v>
      </c>
      <c r="L25" s="70">
        <f t="shared" si="4"/>
        <v>1</v>
      </c>
      <c r="M25" s="70">
        <f t="shared" si="4"/>
        <v>1</v>
      </c>
      <c r="N25" s="70">
        <f t="shared" si="4"/>
        <v>1</v>
      </c>
      <c r="O25" s="70">
        <f t="shared" si="4"/>
        <v>1</v>
      </c>
      <c r="P25" s="240">
        <f t="shared" si="4"/>
        <v>1</v>
      </c>
      <c r="Q25" s="70">
        <f t="shared" si="4"/>
        <v>1</v>
      </c>
      <c r="R25" s="70">
        <f t="shared" si="4"/>
        <v>1</v>
      </c>
      <c r="S25" s="70">
        <f t="shared" si="4"/>
        <v>1</v>
      </c>
      <c r="T25" s="70">
        <f t="shared" si="4"/>
        <v>1</v>
      </c>
      <c r="U25" s="70">
        <f t="shared" si="4"/>
        <v>1</v>
      </c>
      <c r="V25" s="240">
        <f t="shared" si="4"/>
        <v>1</v>
      </c>
      <c r="W25" s="240">
        <f t="shared" si="4"/>
        <v>1</v>
      </c>
      <c r="X25" s="70">
        <f t="shared" si="4"/>
        <v>1</v>
      </c>
      <c r="Y25" s="240">
        <f t="shared" si="4"/>
        <v>1</v>
      </c>
      <c r="Z25" s="240">
        <f t="shared" si="4"/>
        <v>1</v>
      </c>
      <c r="AA25" s="240">
        <f t="shared" si="4"/>
        <v>1</v>
      </c>
      <c r="AB25" s="240">
        <f t="shared" si="4"/>
        <v>1</v>
      </c>
      <c r="AC25" s="240">
        <f t="shared" si="4"/>
        <v>1</v>
      </c>
      <c r="AD25" s="240">
        <f t="shared" si="4"/>
        <v>1</v>
      </c>
      <c r="AE25" s="70">
        <f t="shared" si="4"/>
        <v>1</v>
      </c>
      <c r="AF25" s="70">
        <f t="shared" si="4"/>
        <v>1</v>
      </c>
      <c r="AG25" s="44">
        <f>SUM(AG15:AG24)</f>
        <v>30</v>
      </c>
    </row>
    <row r="26" spans="1:33" s="41" customFormat="1" ht="19.5" thickBot="1" x14ac:dyDescent="0.35">
      <c r="A26" s="290" t="s">
        <v>343</v>
      </c>
      <c r="B26" s="291"/>
      <c r="C26" s="291"/>
      <c r="D26" s="291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  <c r="AA26" s="291"/>
      <c r="AB26" s="291"/>
      <c r="AC26" s="291"/>
      <c r="AD26" s="291"/>
      <c r="AE26" s="291"/>
      <c r="AF26" s="291"/>
      <c r="AG26" s="292"/>
    </row>
    <row r="27" spans="1:33" ht="27" customHeight="1" thickBot="1" x14ac:dyDescent="0.35">
      <c r="A27" s="24" t="s">
        <v>221</v>
      </c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49">
        <f t="shared" si="1"/>
        <v>0</v>
      </c>
    </row>
    <row r="28" spans="1:33" ht="27" customHeight="1" thickBot="1" x14ac:dyDescent="0.35">
      <c r="A28" s="24" t="s">
        <v>222</v>
      </c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8"/>
      <c r="AG28" s="49">
        <f t="shared" si="1"/>
        <v>0</v>
      </c>
    </row>
    <row r="29" spans="1:33" ht="27" customHeight="1" thickBot="1" x14ac:dyDescent="0.35">
      <c r="A29" s="24" t="s">
        <v>223</v>
      </c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8"/>
      <c r="AG29" s="49">
        <f t="shared" si="1"/>
        <v>0</v>
      </c>
    </row>
    <row r="30" spans="1:33" ht="27" customHeight="1" thickBot="1" x14ac:dyDescent="0.35">
      <c r="A30" s="24" t="s">
        <v>453</v>
      </c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8"/>
      <c r="AG30" s="49">
        <f t="shared" si="1"/>
        <v>0</v>
      </c>
    </row>
    <row r="31" spans="1:33" ht="27" customHeight="1" thickBot="1" x14ac:dyDescent="0.35">
      <c r="A31" s="24" t="s">
        <v>224</v>
      </c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8"/>
      <c r="AG31" s="49">
        <f t="shared" si="1"/>
        <v>0</v>
      </c>
    </row>
    <row r="32" spans="1:33" ht="27" customHeight="1" thickBot="1" x14ac:dyDescent="0.35">
      <c r="A32" s="46" t="s">
        <v>10</v>
      </c>
      <c r="B32" s="70">
        <f>SUM(B27:B31)</f>
        <v>0</v>
      </c>
      <c r="C32" s="70">
        <f t="shared" ref="C32:AF32" si="5">SUM(C27:C31)</f>
        <v>0</v>
      </c>
      <c r="D32" s="70">
        <f t="shared" si="5"/>
        <v>0</v>
      </c>
      <c r="E32" s="70">
        <f t="shared" si="5"/>
        <v>0</v>
      </c>
      <c r="F32" s="70">
        <f t="shared" si="5"/>
        <v>0</v>
      </c>
      <c r="G32" s="70">
        <f t="shared" si="5"/>
        <v>0</v>
      </c>
      <c r="H32" s="70">
        <f t="shared" si="5"/>
        <v>0</v>
      </c>
      <c r="I32" s="70">
        <f t="shared" si="5"/>
        <v>0</v>
      </c>
      <c r="J32" s="70">
        <f t="shared" si="5"/>
        <v>0</v>
      </c>
      <c r="K32" s="70">
        <f t="shared" si="5"/>
        <v>0</v>
      </c>
      <c r="L32" s="70">
        <f t="shared" si="5"/>
        <v>0</v>
      </c>
      <c r="M32" s="70">
        <f t="shared" si="5"/>
        <v>0</v>
      </c>
      <c r="N32" s="70">
        <f t="shared" si="5"/>
        <v>0</v>
      </c>
      <c r="O32" s="70">
        <f t="shared" si="5"/>
        <v>0</v>
      </c>
      <c r="P32" s="70">
        <f t="shared" si="5"/>
        <v>0</v>
      </c>
      <c r="Q32" s="70">
        <f t="shared" si="5"/>
        <v>0</v>
      </c>
      <c r="R32" s="70">
        <f t="shared" si="5"/>
        <v>0</v>
      </c>
      <c r="S32" s="70">
        <f t="shared" si="5"/>
        <v>0</v>
      </c>
      <c r="T32" s="70">
        <f t="shared" si="5"/>
        <v>0</v>
      </c>
      <c r="U32" s="70">
        <f t="shared" si="5"/>
        <v>0</v>
      </c>
      <c r="V32" s="70">
        <f t="shared" si="5"/>
        <v>0</v>
      </c>
      <c r="W32" s="70">
        <f t="shared" si="5"/>
        <v>0</v>
      </c>
      <c r="X32" s="70">
        <f t="shared" si="5"/>
        <v>0</v>
      </c>
      <c r="Y32" s="70">
        <f t="shared" si="5"/>
        <v>0</v>
      </c>
      <c r="Z32" s="70">
        <f t="shared" si="5"/>
        <v>0</v>
      </c>
      <c r="AA32" s="70">
        <f t="shared" si="5"/>
        <v>0</v>
      </c>
      <c r="AB32" s="70">
        <f t="shared" si="5"/>
        <v>0</v>
      </c>
      <c r="AC32" s="70">
        <f t="shared" si="5"/>
        <v>0</v>
      </c>
      <c r="AD32" s="70">
        <f t="shared" si="5"/>
        <v>0</v>
      </c>
      <c r="AE32" s="70">
        <f t="shared" si="5"/>
        <v>0</v>
      </c>
      <c r="AF32" s="70">
        <f t="shared" si="5"/>
        <v>0</v>
      </c>
      <c r="AG32" s="44">
        <f>SUM(AG27:AG31)</f>
        <v>0</v>
      </c>
    </row>
    <row r="33" spans="1:33" s="41" customFormat="1" ht="19.5" thickBot="1" x14ac:dyDescent="0.35">
      <c r="A33" s="283" t="s">
        <v>344</v>
      </c>
      <c r="B33" s="284"/>
      <c r="C33" s="284"/>
      <c r="D33" s="284"/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5"/>
    </row>
    <row r="34" spans="1:33" ht="27" customHeight="1" thickBot="1" x14ac:dyDescent="0.35">
      <c r="A34" s="24" t="s">
        <v>225</v>
      </c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8"/>
      <c r="AG34" s="49">
        <f t="shared" si="1"/>
        <v>0</v>
      </c>
    </row>
    <row r="35" spans="1:33" ht="27" customHeight="1" thickBot="1" x14ac:dyDescent="0.35">
      <c r="A35" s="24" t="s">
        <v>269</v>
      </c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8"/>
      <c r="AG35" s="49">
        <f t="shared" si="1"/>
        <v>0</v>
      </c>
    </row>
    <row r="36" spans="1:33" ht="27" customHeight="1" thickBot="1" x14ac:dyDescent="0.35">
      <c r="A36" s="24" t="s">
        <v>226</v>
      </c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8"/>
      <c r="AG36" s="49">
        <f t="shared" si="1"/>
        <v>0</v>
      </c>
    </row>
    <row r="37" spans="1:33" ht="27" customHeight="1" thickBot="1" x14ac:dyDescent="0.35">
      <c r="A37" s="24" t="s">
        <v>227</v>
      </c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8"/>
      <c r="AG37" s="49">
        <f t="shared" si="1"/>
        <v>0</v>
      </c>
    </row>
    <row r="38" spans="1:33" ht="27" customHeight="1" thickBot="1" x14ac:dyDescent="0.35">
      <c r="A38" s="24" t="s">
        <v>228</v>
      </c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8"/>
      <c r="AG38" s="49">
        <f t="shared" si="1"/>
        <v>0</v>
      </c>
    </row>
    <row r="39" spans="1:33" ht="27" customHeight="1" thickBot="1" x14ac:dyDescent="0.35">
      <c r="A39" s="46" t="s">
        <v>10</v>
      </c>
      <c r="B39" s="70">
        <f>SUM(B34:B38)</f>
        <v>0</v>
      </c>
      <c r="C39" s="70">
        <f t="shared" ref="C39:AF39" si="6">SUM(C34:C38)</f>
        <v>0</v>
      </c>
      <c r="D39" s="70">
        <f t="shared" si="6"/>
        <v>0</v>
      </c>
      <c r="E39" s="70">
        <f t="shared" si="6"/>
        <v>0</v>
      </c>
      <c r="F39" s="70">
        <f t="shared" si="6"/>
        <v>0</v>
      </c>
      <c r="G39" s="70">
        <f t="shared" si="6"/>
        <v>0</v>
      </c>
      <c r="H39" s="70">
        <f t="shared" si="6"/>
        <v>0</v>
      </c>
      <c r="I39" s="70">
        <f t="shared" si="6"/>
        <v>0</v>
      </c>
      <c r="J39" s="70">
        <f t="shared" si="6"/>
        <v>0</v>
      </c>
      <c r="K39" s="70">
        <f t="shared" si="6"/>
        <v>0</v>
      </c>
      <c r="L39" s="70">
        <f t="shared" si="6"/>
        <v>0</v>
      </c>
      <c r="M39" s="70">
        <f t="shared" si="6"/>
        <v>0</v>
      </c>
      <c r="N39" s="70">
        <f t="shared" si="6"/>
        <v>0</v>
      </c>
      <c r="O39" s="70">
        <f t="shared" si="6"/>
        <v>0</v>
      </c>
      <c r="P39" s="70">
        <f t="shared" si="6"/>
        <v>0</v>
      </c>
      <c r="Q39" s="70">
        <f t="shared" si="6"/>
        <v>0</v>
      </c>
      <c r="R39" s="70">
        <f t="shared" si="6"/>
        <v>0</v>
      </c>
      <c r="S39" s="70">
        <f t="shared" si="6"/>
        <v>0</v>
      </c>
      <c r="T39" s="70">
        <f t="shared" si="6"/>
        <v>0</v>
      </c>
      <c r="U39" s="70">
        <f t="shared" si="6"/>
        <v>0</v>
      </c>
      <c r="V39" s="70">
        <f t="shared" si="6"/>
        <v>0</v>
      </c>
      <c r="W39" s="70">
        <f t="shared" si="6"/>
        <v>0</v>
      </c>
      <c r="X39" s="70">
        <f t="shared" si="6"/>
        <v>0</v>
      </c>
      <c r="Y39" s="70">
        <f t="shared" si="6"/>
        <v>0</v>
      </c>
      <c r="Z39" s="70">
        <f t="shared" si="6"/>
        <v>0</v>
      </c>
      <c r="AA39" s="70">
        <f t="shared" si="6"/>
        <v>0</v>
      </c>
      <c r="AB39" s="70">
        <f t="shared" si="6"/>
        <v>0</v>
      </c>
      <c r="AC39" s="70">
        <f t="shared" si="6"/>
        <v>0</v>
      </c>
      <c r="AD39" s="70">
        <f t="shared" si="6"/>
        <v>0</v>
      </c>
      <c r="AE39" s="70">
        <f t="shared" si="6"/>
        <v>0</v>
      </c>
      <c r="AF39" s="70">
        <f t="shared" si="6"/>
        <v>0</v>
      </c>
      <c r="AG39" s="44">
        <f>SUM(AG34:AG38)</f>
        <v>0</v>
      </c>
    </row>
    <row r="40" spans="1:33" s="41" customFormat="1" ht="19.5" thickBot="1" x14ac:dyDescent="0.35">
      <c r="A40" s="283" t="s">
        <v>345</v>
      </c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  <c r="AA40" s="284"/>
      <c r="AB40" s="284"/>
      <c r="AC40" s="284"/>
      <c r="AD40" s="284"/>
      <c r="AE40" s="284"/>
      <c r="AF40" s="284"/>
      <c r="AG40" s="285"/>
    </row>
    <row r="41" spans="1:33" ht="27" customHeight="1" thickBot="1" x14ac:dyDescent="0.35">
      <c r="A41" s="60" t="s">
        <v>229</v>
      </c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6"/>
      <c r="AG41" s="49">
        <f t="shared" si="1"/>
        <v>0</v>
      </c>
    </row>
    <row r="42" spans="1:33" ht="27" customHeight="1" thickBot="1" x14ac:dyDescent="0.35">
      <c r="A42" s="60" t="s">
        <v>230</v>
      </c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6"/>
      <c r="AG42" s="49">
        <f t="shared" si="1"/>
        <v>0</v>
      </c>
    </row>
    <row r="43" spans="1:33" ht="27" customHeight="1" thickBot="1" x14ac:dyDescent="0.35">
      <c r="A43" s="60" t="s">
        <v>231</v>
      </c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6"/>
      <c r="AG43" s="49">
        <f t="shared" si="1"/>
        <v>0</v>
      </c>
    </row>
    <row r="44" spans="1:33" ht="27" customHeight="1" thickBot="1" x14ac:dyDescent="0.35">
      <c r="A44" s="46" t="s">
        <v>10</v>
      </c>
      <c r="B44" s="70">
        <f>SUM(B41:B43)</f>
        <v>0</v>
      </c>
      <c r="C44" s="70">
        <f t="shared" ref="C44:AF44" si="7">SUM(C41:C43)</f>
        <v>0</v>
      </c>
      <c r="D44" s="70">
        <f t="shared" si="7"/>
        <v>0</v>
      </c>
      <c r="E44" s="70">
        <f t="shared" si="7"/>
        <v>0</v>
      </c>
      <c r="F44" s="70">
        <f t="shared" si="7"/>
        <v>0</v>
      </c>
      <c r="G44" s="70">
        <f t="shared" si="7"/>
        <v>0</v>
      </c>
      <c r="H44" s="70">
        <f t="shared" si="7"/>
        <v>0</v>
      </c>
      <c r="I44" s="70">
        <f t="shared" si="7"/>
        <v>0</v>
      </c>
      <c r="J44" s="70">
        <f t="shared" si="7"/>
        <v>0</v>
      </c>
      <c r="K44" s="70">
        <f t="shared" si="7"/>
        <v>0</v>
      </c>
      <c r="L44" s="70">
        <f t="shared" si="7"/>
        <v>0</v>
      </c>
      <c r="M44" s="70">
        <f t="shared" si="7"/>
        <v>0</v>
      </c>
      <c r="N44" s="70">
        <f t="shared" si="7"/>
        <v>0</v>
      </c>
      <c r="O44" s="70">
        <f t="shared" si="7"/>
        <v>0</v>
      </c>
      <c r="P44" s="70">
        <f t="shared" si="7"/>
        <v>0</v>
      </c>
      <c r="Q44" s="70">
        <f t="shared" si="7"/>
        <v>0</v>
      </c>
      <c r="R44" s="70">
        <f t="shared" si="7"/>
        <v>0</v>
      </c>
      <c r="S44" s="70">
        <f t="shared" si="7"/>
        <v>0</v>
      </c>
      <c r="T44" s="70">
        <f t="shared" si="7"/>
        <v>0</v>
      </c>
      <c r="U44" s="70">
        <f t="shared" si="7"/>
        <v>0</v>
      </c>
      <c r="V44" s="70">
        <f t="shared" si="7"/>
        <v>0</v>
      </c>
      <c r="W44" s="70">
        <f t="shared" si="7"/>
        <v>0</v>
      </c>
      <c r="X44" s="70">
        <f t="shared" si="7"/>
        <v>0</v>
      </c>
      <c r="Y44" s="70">
        <f t="shared" si="7"/>
        <v>0</v>
      </c>
      <c r="Z44" s="70">
        <f t="shared" si="7"/>
        <v>0</v>
      </c>
      <c r="AA44" s="70">
        <f t="shared" si="7"/>
        <v>0</v>
      </c>
      <c r="AB44" s="70">
        <f t="shared" si="7"/>
        <v>0</v>
      </c>
      <c r="AC44" s="70">
        <f t="shared" si="7"/>
        <v>0</v>
      </c>
      <c r="AD44" s="70">
        <f t="shared" si="7"/>
        <v>0</v>
      </c>
      <c r="AE44" s="70">
        <f t="shared" si="7"/>
        <v>0</v>
      </c>
      <c r="AF44" s="70">
        <f t="shared" si="7"/>
        <v>0</v>
      </c>
      <c r="AG44" s="44">
        <f>SUM(AG41:AG43)</f>
        <v>0</v>
      </c>
    </row>
    <row r="45" spans="1:33" s="41" customFormat="1" ht="19.5" thickBot="1" x14ac:dyDescent="0.35">
      <c r="A45" s="283" t="s">
        <v>346</v>
      </c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  <c r="AA45" s="284"/>
      <c r="AB45" s="284"/>
      <c r="AC45" s="284"/>
      <c r="AD45" s="284"/>
      <c r="AE45" s="284"/>
      <c r="AF45" s="284"/>
      <c r="AG45" s="285"/>
    </row>
    <row r="46" spans="1:33" ht="27" customHeight="1" thickBot="1" x14ac:dyDescent="0.35">
      <c r="A46" s="60" t="s">
        <v>232</v>
      </c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6"/>
      <c r="AG46" s="49">
        <f t="shared" si="1"/>
        <v>0</v>
      </c>
    </row>
    <row r="47" spans="1:33" ht="27" customHeight="1" thickBot="1" x14ac:dyDescent="0.35">
      <c r="A47" s="60" t="s">
        <v>233</v>
      </c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6"/>
      <c r="AG47" s="49">
        <f t="shared" si="1"/>
        <v>0</v>
      </c>
    </row>
    <row r="48" spans="1:33" ht="27" customHeight="1" thickBot="1" x14ac:dyDescent="0.35">
      <c r="A48" s="60" t="s">
        <v>440</v>
      </c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6"/>
      <c r="AG48" s="49">
        <f t="shared" si="1"/>
        <v>0</v>
      </c>
    </row>
    <row r="49" spans="1:33" ht="27" customHeight="1" thickBot="1" x14ac:dyDescent="0.35">
      <c r="A49" s="60" t="s">
        <v>235</v>
      </c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6"/>
      <c r="AG49" s="49">
        <f t="shared" si="1"/>
        <v>0</v>
      </c>
    </row>
    <row r="50" spans="1:33" ht="27" customHeight="1" thickBot="1" x14ac:dyDescent="0.35">
      <c r="A50" s="60" t="s">
        <v>446</v>
      </c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6"/>
      <c r="AG50" s="49">
        <f t="shared" si="1"/>
        <v>0</v>
      </c>
    </row>
    <row r="51" spans="1:33" ht="27" customHeight="1" thickBot="1" x14ac:dyDescent="0.35">
      <c r="A51" s="60" t="s">
        <v>236</v>
      </c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6"/>
      <c r="AG51" s="49">
        <f t="shared" si="1"/>
        <v>0</v>
      </c>
    </row>
    <row r="52" spans="1:33" ht="27" customHeight="1" thickBot="1" x14ac:dyDescent="0.35">
      <c r="A52" s="60" t="s">
        <v>237</v>
      </c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6"/>
      <c r="AG52" s="49">
        <f t="shared" si="1"/>
        <v>0</v>
      </c>
    </row>
    <row r="53" spans="1:33" ht="27" customHeight="1" thickBot="1" x14ac:dyDescent="0.35">
      <c r="A53" s="60" t="s">
        <v>238</v>
      </c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6"/>
      <c r="AG53" s="49">
        <f t="shared" si="1"/>
        <v>0</v>
      </c>
    </row>
    <row r="54" spans="1:33" ht="27" customHeight="1" thickBot="1" x14ac:dyDescent="0.35">
      <c r="A54" s="60" t="s">
        <v>239</v>
      </c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6"/>
      <c r="AG54" s="49">
        <f t="shared" si="1"/>
        <v>0</v>
      </c>
    </row>
    <row r="55" spans="1:33" ht="27" customHeight="1" thickBot="1" x14ac:dyDescent="0.35">
      <c r="A55" s="60" t="s">
        <v>240</v>
      </c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6"/>
      <c r="AG55" s="49">
        <f t="shared" si="1"/>
        <v>0</v>
      </c>
    </row>
    <row r="56" spans="1:33" ht="27" customHeight="1" thickBot="1" x14ac:dyDescent="0.35">
      <c r="A56" s="61" t="s">
        <v>241</v>
      </c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2"/>
      <c r="AG56" s="49">
        <f t="shared" si="1"/>
        <v>0</v>
      </c>
    </row>
    <row r="57" spans="1:33" ht="27" customHeight="1" thickBot="1" x14ac:dyDescent="0.35">
      <c r="A57" s="61" t="s">
        <v>242</v>
      </c>
      <c r="B57" s="10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2"/>
      <c r="AG57" s="49">
        <f t="shared" si="1"/>
        <v>0</v>
      </c>
    </row>
    <row r="58" spans="1:33" ht="27" customHeight="1" thickBot="1" x14ac:dyDescent="0.35">
      <c r="A58" s="61" t="s">
        <v>243</v>
      </c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2"/>
      <c r="AG58" s="49">
        <f t="shared" si="1"/>
        <v>0</v>
      </c>
    </row>
    <row r="59" spans="1:33" ht="27" customHeight="1" thickBot="1" x14ac:dyDescent="0.35">
      <c r="A59" s="61" t="s">
        <v>244</v>
      </c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2"/>
      <c r="AG59" s="49">
        <f t="shared" si="1"/>
        <v>0</v>
      </c>
    </row>
    <row r="60" spans="1:33" ht="27" customHeight="1" thickBot="1" x14ac:dyDescent="0.35">
      <c r="A60" s="61" t="s">
        <v>245</v>
      </c>
      <c r="B60" s="10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2"/>
      <c r="AG60" s="49">
        <f t="shared" si="1"/>
        <v>0</v>
      </c>
    </row>
    <row r="61" spans="1:33" ht="27" customHeight="1" thickBot="1" x14ac:dyDescent="0.35">
      <c r="A61" s="46" t="s">
        <v>10</v>
      </c>
      <c r="B61" s="70">
        <f>SUM(B46:B60)</f>
        <v>0</v>
      </c>
      <c r="C61" s="70">
        <f t="shared" ref="C61:AF61" si="8">SUM(C46:C60)</f>
        <v>0</v>
      </c>
      <c r="D61" s="70">
        <f t="shared" si="8"/>
        <v>0</v>
      </c>
      <c r="E61" s="70">
        <f t="shared" si="8"/>
        <v>0</v>
      </c>
      <c r="F61" s="70">
        <f t="shared" si="8"/>
        <v>0</v>
      </c>
      <c r="G61" s="70">
        <f t="shared" si="8"/>
        <v>0</v>
      </c>
      <c r="H61" s="70">
        <f t="shared" si="8"/>
        <v>0</v>
      </c>
      <c r="I61" s="70">
        <f t="shared" si="8"/>
        <v>0</v>
      </c>
      <c r="J61" s="70">
        <f t="shared" si="8"/>
        <v>0</v>
      </c>
      <c r="K61" s="70">
        <f t="shared" si="8"/>
        <v>0</v>
      </c>
      <c r="L61" s="70">
        <f t="shared" si="8"/>
        <v>0</v>
      </c>
      <c r="M61" s="70">
        <f t="shared" si="8"/>
        <v>0</v>
      </c>
      <c r="N61" s="70">
        <f t="shared" si="8"/>
        <v>0</v>
      </c>
      <c r="O61" s="70">
        <f t="shared" si="8"/>
        <v>0</v>
      </c>
      <c r="P61" s="70">
        <f t="shared" si="8"/>
        <v>0</v>
      </c>
      <c r="Q61" s="70">
        <f t="shared" si="8"/>
        <v>0</v>
      </c>
      <c r="R61" s="70">
        <f t="shared" si="8"/>
        <v>0</v>
      </c>
      <c r="S61" s="70">
        <f t="shared" si="8"/>
        <v>0</v>
      </c>
      <c r="T61" s="70">
        <f t="shared" si="8"/>
        <v>0</v>
      </c>
      <c r="U61" s="70">
        <f t="shared" si="8"/>
        <v>0</v>
      </c>
      <c r="V61" s="70">
        <f t="shared" si="8"/>
        <v>0</v>
      </c>
      <c r="W61" s="70">
        <f t="shared" si="8"/>
        <v>0</v>
      </c>
      <c r="X61" s="70">
        <f t="shared" si="8"/>
        <v>0</v>
      </c>
      <c r="Y61" s="70">
        <f t="shared" si="8"/>
        <v>0</v>
      </c>
      <c r="Z61" s="70">
        <f t="shared" si="8"/>
        <v>0</v>
      </c>
      <c r="AA61" s="70">
        <f t="shared" si="8"/>
        <v>0</v>
      </c>
      <c r="AB61" s="70">
        <f t="shared" si="8"/>
        <v>0</v>
      </c>
      <c r="AC61" s="70">
        <f t="shared" si="8"/>
        <v>0</v>
      </c>
      <c r="AD61" s="70">
        <f t="shared" si="8"/>
        <v>0</v>
      </c>
      <c r="AE61" s="70">
        <f t="shared" si="8"/>
        <v>0</v>
      </c>
      <c r="AF61" s="70">
        <f t="shared" si="8"/>
        <v>0</v>
      </c>
      <c r="AG61" s="44">
        <f>SUM(AG46:AG60)</f>
        <v>0</v>
      </c>
    </row>
    <row r="62" spans="1:33" s="41" customFormat="1" ht="19.5" thickBot="1" x14ac:dyDescent="0.35">
      <c r="A62" s="283" t="s">
        <v>347</v>
      </c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4"/>
      <c r="AG62" s="285"/>
    </row>
    <row r="63" spans="1:33" ht="27" customHeight="1" thickBot="1" x14ac:dyDescent="0.35">
      <c r="A63" s="61" t="s">
        <v>246</v>
      </c>
      <c r="B63" s="1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2"/>
      <c r="AG63" s="49">
        <f t="shared" si="1"/>
        <v>0</v>
      </c>
    </row>
    <row r="64" spans="1:33" ht="27" customHeight="1" thickBot="1" x14ac:dyDescent="0.35">
      <c r="A64" s="61" t="s">
        <v>247</v>
      </c>
      <c r="B64" s="10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2"/>
      <c r="AG64" s="49">
        <f t="shared" si="1"/>
        <v>0</v>
      </c>
    </row>
    <row r="65" spans="1:34" ht="27" customHeight="1" thickBot="1" x14ac:dyDescent="0.35">
      <c r="A65" s="61" t="s">
        <v>248</v>
      </c>
      <c r="B65" s="1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2"/>
      <c r="AG65" s="49">
        <f t="shared" si="1"/>
        <v>0</v>
      </c>
    </row>
    <row r="66" spans="1:34" ht="27" customHeight="1" thickBot="1" x14ac:dyDescent="0.35">
      <c r="A66" s="61" t="s">
        <v>249</v>
      </c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2"/>
      <c r="AG66" s="49">
        <f t="shared" si="1"/>
        <v>0</v>
      </c>
    </row>
    <row r="67" spans="1:34" ht="27" customHeight="1" thickBot="1" x14ac:dyDescent="0.35">
      <c r="A67" s="61" t="s">
        <v>250</v>
      </c>
      <c r="B67" s="10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2"/>
      <c r="AG67" s="49">
        <f t="shared" si="1"/>
        <v>0</v>
      </c>
    </row>
    <row r="68" spans="1:34" ht="27" customHeight="1" thickBot="1" x14ac:dyDescent="0.35">
      <c r="A68" s="61" t="s">
        <v>251</v>
      </c>
      <c r="B68" s="10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2"/>
      <c r="AG68" s="49">
        <f t="shared" si="1"/>
        <v>0</v>
      </c>
    </row>
    <row r="69" spans="1:34" ht="27" customHeight="1" thickBot="1" x14ac:dyDescent="0.35">
      <c r="A69" s="61" t="s">
        <v>467</v>
      </c>
      <c r="B69" s="1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2"/>
      <c r="AG69" s="49">
        <f t="shared" si="1"/>
        <v>0</v>
      </c>
    </row>
    <row r="70" spans="1:34" ht="27" customHeight="1" thickBot="1" x14ac:dyDescent="0.35">
      <c r="A70" s="61" t="s">
        <v>252</v>
      </c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2"/>
      <c r="AG70" s="49">
        <f t="shared" si="1"/>
        <v>0</v>
      </c>
    </row>
    <row r="71" spans="1:34" ht="27" customHeight="1" thickBot="1" x14ac:dyDescent="0.35">
      <c r="A71" s="61" t="s">
        <v>253</v>
      </c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2"/>
      <c r="AG71" s="49">
        <f t="shared" si="1"/>
        <v>0</v>
      </c>
    </row>
    <row r="72" spans="1:34" ht="27" customHeight="1" thickBot="1" x14ac:dyDescent="0.35">
      <c r="A72" s="61" t="s">
        <v>254</v>
      </c>
      <c r="B72" s="10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2"/>
      <c r="AG72" s="49">
        <f t="shared" si="1"/>
        <v>0</v>
      </c>
    </row>
    <row r="73" spans="1:34" ht="27" customHeight="1" thickBot="1" x14ac:dyDescent="0.35">
      <c r="A73" s="61" t="s">
        <v>255</v>
      </c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2"/>
      <c r="AG73" s="49">
        <f t="shared" si="1"/>
        <v>0</v>
      </c>
    </row>
    <row r="74" spans="1:34" ht="27" customHeight="1" thickBot="1" x14ac:dyDescent="0.35">
      <c r="A74" s="61" t="s">
        <v>256</v>
      </c>
      <c r="B74" s="10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2"/>
      <c r="AG74" s="49">
        <f t="shared" si="1"/>
        <v>0</v>
      </c>
    </row>
    <row r="75" spans="1:34" ht="27" customHeight="1" thickBot="1" x14ac:dyDescent="0.35">
      <c r="A75" s="61" t="s">
        <v>257</v>
      </c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2"/>
      <c r="AG75" s="49">
        <f t="shared" si="1"/>
        <v>0</v>
      </c>
    </row>
    <row r="76" spans="1:34" ht="27" customHeight="1" thickBot="1" x14ac:dyDescent="0.35">
      <c r="A76" s="61" t="s">
        <v>258</v>
      </c>
      <c r="B76" s="10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2"/>
      <c r="AG76" s="49">
        <f t="shared" si="1"/>
        <v>0</v>
      </c>
    </row>
    <row r="77" spans="1:34" ht="27" customHeight="1" thickBot="1" x14ac:dyDescent="0.35">
      <c r="A77" s="61" t="s">
        <v>259</v>
      </c>
      <c r="B77" s="10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2"/>
      <c r="AG77" s="49">
        <f t="shared" si="1"/>
        <v>0</v>
      </c>
    </row>
    <row r="78" spans="1:34" ht="27" customHeight="1" thickBot="1" x14ac:dyDescent="0.35">
      <c r="A78" s="61" t="s">
        <v>260</v>
      </c>
      <c r="B78" s="10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2"/>
      <c r="AG78" s="49">
        <f t="shared" si="1"/>
        <v>0</v>
      </c>
    </row>
    <row r="79" spans="1:34" ht="27" customHeight="1" thickBot="1" x14ac:dyDescent="0.35">
      <c r="A79" s="61" t="s">
        <v>261</v>
      </c>
      <c r="B79" s="1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2"/>
      <c r="AG79" s="49">
        <f t="shared" si="1"/>
        <v>0</v>
      </c>
    </row>
    <row r="80" spans="1:34" ht="27" customHeight="1" thickBot="1" x14ac:dyDescent="0.35">
      <c r="A80" s="61" t="s">
        <v>262</v>
      </c>
      <c r="B80" s="10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2"/>
      <c r="AG80" s="49">
        <f t="shared" si="1"/>
        <v>0</v>
      </c>
      <c r="AH80" s="81"/>
    </row>
    <row r="81" spans="1:33" ht="27" customHeight="1" thickBot="1" x14ac:dyDescent="0.35">
      <c r="A81" s="61" t="s">
        <v>263</v>
      </c>
      <c r="B81" s="10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2"/>
      <c r="AG81" s="49">
        <f t="shared" si="1"/>
        <v>0</v>
      </c>
    </row>
    <row r="82" spans="1:33" ht="27" customHeight="1" thickBot="1" x14ac:dyDescent="0.35">
      <c r="A82" s="61" t="s">
        <v>264</v>
      </c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2"/>
      <c r="AG82" s="49">
        <f t="shared" si="1"/>
        <v>0</v>
      </c>
    </row>
    <row r="83" spans="1:33" ht="27" customHeight="1" thickBot="1" x14ac:dyDescent="0.35">
      <c r="A83" s="61" t="s">
        <v>265</v>
      </c>
      <c r="B83" s="10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2"/>
      <c r="AG83" s="49">
        <f t="shared" si="1"/>
        <v>0</v>
      </c>
    </row>
    <row r="84" spans="1:33" ht="27" customHeight="1" thickBot="1" x14ac:dyDescent="0.35">
      <c r="A84" s="61" t="s">
        <v>266</v>
      </c>
      <c r="B84" s="10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2"/>
      <c r="AG84" s="49">
        <f t="shared" si="1"/>
        <v>0</v>
      </c>
    </row>
    <row r="85" spans="1:33" ht="27" customHeight="1" thickBot="1" x14ac:dyDescent="0.35">
      <c r="A85" s="61" t="s">
        <v>267</v>
      </c>
      <c r="B85" s="1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2"/>
      <c r="AG85" s="49">
        <f t="shared" si="1"/>
        <v>0</v>
      </c>
    </row>
    <row r="86" spans="1:33" ht="27" customHeight="1" thickBot="1" x14ac:dyDescent="0.35">
      <c r="A86" s="61" t="s">
        <v>268</v>
      </c>
      <c r="B86" s="1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2"/>
      <c r="AG86" s="49">
        <f>SUM(B86:AF86)</f>
        <v>0</v>
      </c>
    </row>
    <row r="87" spans="1:33" ht="27" customHeight="1" thickBot="1" x14ac:dyDescent="0.35">
      <c r="A87" s="46" t="s">
        <v>10</v>
      </c>
      <c r="B87" s="70">
        <f>SUM(B63:B86)</f>
        <v>0</v>
      </c>
      <c r="C87" s="70">
        <f t="shared" ref="C87:AF87" si="9">SUM(C63:C86)</f>
        <v>0</v>
      </c>
      <c r="D87" s="70">
        <f t="shared" si="9"/>
        <v>0</v>
      </c>
      <c r="E87" s="70">
        <f t="shared" si="9"/>
        <v>0</v>
      </c>
      <c r="F87" s="70">
        <f t="shared" si="9"/>
        <v>0</v>
      </c>
      <c r="G87" s="70">
        <f t="shared" si="9"/>
        <v>0</v>
      </c>
      <c r="H87" s="70">
        <f t="shared" si="9"/>
        <v>0</v>
      </c>
      <c r="I87" s="70">
        <f t="shared" si="9"/>
        <v>0</v>
      </c>
      <c r="J87" s="70">
        <f t="shared" si="9"/>
        <v>0</v>
      </c>
      <c r="K87" s="70">
        <f t="shared" si="9"/>
        <v>0</v>
      </c>
      <c r="L87" s="70">
        <f t="shared" si="9"/>
        <v>0</v>
      </c>
      <c r="M87" s="70">
        <f t="shared" si="9"/>
        <v>0</v>
      </c>
      <c r="N87" s="70">
        <f t="shared" si="9"/>
        <v>0</v>
      </c>
      <c r="O87" s="70">
        <f t="shared" si="9"/>
        <v>0</v>
      </c>
      <c r="P87" s="70">
        <f t="shared" si="9"/>
        <v>0</v>
      </c>
      <c r="Q87" s="70">
        <f t="shared" si="9"/>
        <v>0</v>
      </c>
      <c r="R87" s="70">
        <f t="shared" si="9"/>
        <v>0</v>
      </c>
      <c r="S87" s="70">
        <f t="shared" si="9"/>
        <v>0</v>
      </c>
      <c r="T87" s="70">
        <f t="shared" si="9"/>
        <v>0</v>
      </c>
      <c r="U87" s="70">
        <f t="shared" si="9"/>
        <v>0</v>
      </c>
      <c r="V87" s="70">
        <f t="shared" si="9"/>
        <v>0</v>
      </c>
      <c r="W87" s="70">
        <f t="shared" si="9"/>
        <v>0</v>
      </c>
      <c r="X87" s="70">
        <f t="shared" si="9"/>
        <v>0</v>
      </c>
      <c r="Y87" s="70">
        <f t="shared" si="9"/>
        <v>0</v>
      </c>
      <c r="Z87" s="70">
        <f t="shared" si="9"/>
        <v>0</v>
      </c>
      <c r="AA87" s="70">
        <f t="shared" si="9"/>
        <v>0</v>
      </c>
      <c r="AB87" s="70">
        <f t="shared" si="9"/>
        <v>0</v>
      </c>
      <c r="AC87" s="70">
        <f t="shared" si="9"/>
        <v>0</v>
      </c>
      <c r="AD87" s="70">
        <f t="shared" si="9"/>
        <v>0</v>
      </c>
      <c r="AE87" s="70">
        <f t="shared" si="9"/>
        <v>0</v>
      </c>
      <c r="AF87" s="70">
        <f t="shared" si="9"/>
        <v>0</v>
      </c>
      <c r="AG87" s="44">
        <f>SUM(AG63:AG86)</f>
        <v>0</v>
      </c>
    </row>
    <row r="88" spans="1:33" s="41" customFormat="1" ht="19.5" thickBot="1" x14ac:dyDescent="0.35">
      <c r="A88" s="283" t="s">
        <v>348</v>
      </c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  <c r="AA88" s="284"/>
      <c r="AB88" s="284"/>
      <c r="AC88" s="284"/>
      <c r="AD88" s="284"/>
      <c r="AE88" s="284"/>
      <c r="AF88" s="284"/>
      <c r="AG88" s="285"/>
    </row>
    <row r="89" spans="1:33" ht="27" customHeight="1" thickBot="1" x14ac:dyDescent="0.35">
      <c r="A89" s="61" t="s">
        <v>270</v>
      </c>
      <c r="B89" s="1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2"/>
      <c r="AG89" s="49">
        <f>SUM(B89:AF89)</f>
        <v>0</v>
      </c>
    </row>
    <row r="90" spans="1:33" ht="27" customHeight="1" thickBot="1" x14ac:dyDescent="0.35">
      <c r="A90" s="46" t="s">
        <v>10</v>
      </c>
      <c r="B90" s="70">
        <f>SUM(B89:B89)</f>
        <v>0</v>
      </c>
      <c r="C90" s="70">
        <f t="shared" ref="C90:AF90" si="10">SUM(C89:C89)</f>
        <v>0</v>
      </c>
      <c r="D90" s="70">
        <f t="shared" si="10"/>
        <v>0</v>
      </c>
      <c r="E90" s="70">
        <f t="shared" si="10"/>
        <v>0</v>
      </c>
      <c r="F90" s="70">
        <f t="shared" si="10"/>
        <v>0</v>
      </c>
      <c r="G90" s="70">
        <f t="shared" si="10"/>
        <v>0</v>
      </c>
      <c r="H90" s="70">
        <f t="shared" si="10"/>
        <v>0</v>
      </c>
      <c r="I90" s="70">
        <f t="shared" si="10"/>
        <v>0</v>
      </c>
      <c r="J90" s="70">
        <f t="shared" si="10"/>
        <v>0</v>
      </c>
      <c r="K90" s="70">
        <f t="shared" si="10"/>
        <v>0</v>
      </c>
      <c r="L90" s="70">
        <f t="shared" si="10"/>
        <v>0</v>
      </c>
      <c r="M90" s="70">
        <f t="shared" si="10"/>
        <v>0</v>
      </c>
      <c r="N90" s="70">
        <f t="shared" si="10"/>
        <v>0</v>
      </c>
      <c r="O90" s="70">
        <f t="shared" si="10"/>
        <v>0</v>
      </c>
      <c r="P90" s="70">
        <f t="shared" si="10"/>
        <v>0</v>
      </c>
      <c r="Q90" s="70">
        <f t="shared" si="10"/>
        <v>0</v>
      </c>
      <c r="R90" s="70">
        <f t="shared" si="10"/>
        <v>0</v>
      </c>
      <c r="S90" s="70">
        <f t="shared" si="10"/>
        <v>0</v>
      </c>
      <c r="T90" s="70">
        <f t="shared" si="10"/>
        <v>0</v>
      </c>
      <c r="U90" s="70">
        <f t="shared" si="10"/>
        <v>0</v>
      </c>
      <c r="V90" s="70">
        <f t="shared" si="10"/>
        <v>0</v>
      </c>
      <c r="W90" s="70">
        <f t="shared" si="10"/>
        <v>0</v>
      </c>
      <c r="X90" s="70">
        <f t="shared" si="10"/>
        <v>0</v>
      </c>
      <c r="Y90" s="70">
        <f t="shared" si="10"/>
        <v>0</v>
      </c>
      <c r="Z90" s="70">
        <f t="shared" si="10"/>
        <v>0</v>
      </c>
      <c r="AA90" s="70">
        <f t="shared" si="10"/>
        <v>0</v>
      </c>
      <c r="AB90" s="70">
        <f t="shared" si="10"/>
        <v>0</v>
      </c>
      <c r="AC90" s="70">
        <f t="shared" si="10"/>
        <v>0</v>
      </c>
      <c r="AD90" s="70">
        <f t="shared" si="10"/>
        <v>0</v>
      </c>
      <c r="AE90" s="70">
        <f t="shared" si="10"/>
        <v>0</v>
      </c>
      <c r="AF90" s="70">
        <f t="shared" si="10"/>
        <v>0</v>
      </c>
      <c r="AG90" s="44">
        <f>SUM(AG89:AG89)</f>
        <v>0</v>
      </c>
    </row>
    <row r="91" spans="1:33" s="41" customFormat="1" ht="19.5" thickBot="1" x14ac:dyDescent="0.35">
      <c r="A91" s="283" t="s">
        <v>349</v>
      </c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  <c r="AA91" s="284"/>
      <c r="AB91" s="284"/>
      <c r="AC91" s="284"/>
      <c r="AD91" s="284"/>
      <c r="AE91" s="284"/>
      <c r="AF91" s="284"/>
      <c r="AG91" s="285"/>
    </row>
    <row r="92" spans="1:33" ht="27" customHeight="1" thickBot="1" x14ac:dyDescent="0.35">
      <c r="A92" s="61" t="s">
        <v>271</v>
      </c>
      <c r="B92" s="10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2"/>
      <c r="AG92" s="49">
        <f>SUM(B92:AF92)</f>
        <v>0</v>
      </c>
    </row>
    <row r="93" spans="1:33" ht="27" customHeight="1" thickBot="1" x14ac:dyDescent="0.35">
      <c r="A93" s="61" t="s">
        <v>272</v>
      </c>
      <c r="B93" s="10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2"/>
      <c r="AG93" s="49">
        <f>SUM(B93:AF93)</f>
        <v>0</v>
      </c>
    </row>
    <row r="94" spans="1:33" ht="27" customHeight="1" thickBot="1" x14ac:dyDescent="0.35">
      <c r="A94" s="61" t="s">
        <v>273</v>
      </c>
      <c r="B94" s="10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2"/>
      <c r="AG94" s="49">
        <f>SUM(B94:AF94)</f>
        <v>0</v>
      </c>
    </row>
    <row r="95" spans="1:33" ht="27" customHeight="1" thickBot="1" x14ac:dyDescent="0.35">
      <c r="A95" s="61" t="s">
        <v>274</v>
      </c>
      <c r="B95" s="10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2"/>
      <c r="AG95" s="49">
        <f>SUM(B95:AF95)</f>
        <v>0</v>
      </c>
    </row>
    <row r="96" spans="1:33" ht="27" customHeight="1" thickBot="1" x14ac:dyDescent="0.35">
      <c r="A96" s="46" t="s">
        <v>10</v>
      </c>
      <c r="B96" s="70">
        <f>SUM(B92:B95)</f>
        <v>0</v>
      </c>
      <c r="C96" s="70">
        <f t="shared" ref="C96:AF96" si="11">SUM(C92:C95)</f>
        <v>0</v>
      </c>
      <c r="D96" s="70">
        <f t="shared" si="11"/>
        <v>0</v>
      </c>
      <c r="E96" s="70">
        <f t="shared" si="11"/>
        <v>0</v>
      </c>
      <c r="F96" s="70">
        <f t="shared" si="11"/>
        <v>0</v>
      </c>
      <c r="G96" s="70">
        <f t="shared" si="11"/>
        <v>0</v>
      </c>
      <c r="H96" s="70">
        <f t="shared" si="11"/>
        <v>0</v>
      </c>
      <c r="I96" s="70">
        <f t="shared" si="11"/>
        <v>0</v>
      </c>
      <c r="J96" s="70">
        <f t="shared" si="11"/>
        <v>0</v>
      </c>
      <c r="K96" s="70">
        <f t="shared" si="11"/>
        <v>0</v>
      </c>
      <c r="L96" s="70">
        <f t="shared" si="11"/>
        <v>0</v>
      </c>
      <c r="M96" s="70">
        <f t="shared" si="11"/>
        <v>0</v>
      </c>
      <c r="N96" s="70">
        <f t="shared" si="11"/>
        <v>0</v>
      </c>
      <c r="O96" s="70">
        <f t="shared" si="11"/>
        <v>0</v>
      </c>
      <c r="P96" s="70">
        <f t="shared" si="11"/>
        <v>0</v>
      </c>
      <c r="Q96" s="70">
        <f t="shared" si="11"/>
        <v>0</v>
      </c>
      <c r="R96" s="70">
        <f t="shared" si="11"/>
        <v>0</v>
      </c>
      <c r="S96" s="70">
        <f t="shared" si="11"/>
        <v>0</v>
      </c>
      <c r="T96" s="70">
        <f t="shared" si="11"/>
        <v>0</v>
      </c>
      <c r="U96" s="70">
        <f t="shared" si="11"/>
        <v>0</v>
      </c>
      <c r="V96" s="70">
        <f t="shared" si="11"/>
        <v>0</v>
      </c>
      <c r="W96" s="70">
        <f t="shared" si="11"/>
        <v>0</v>
      </c>
      <c r="X96" s="70">
        <f t="shared" si="11"/>
        <v>0</v>
      </c>
      <c r="Y96" s="70">
        <f t="shared" si="11"/>
        <v>0</v>
      </c>
      <c r="Z96" s="70">
        <f t="shared" si="11"/>
        <v>0</v>
      </c>
      <c r="AA96" s="70">
        <f t="shared" si="11"/>
        <v>0</v>
      </c>
      <c r="AB96" s="70">
        <f t="shared" si="11"/>
        <v>0</v>
      </c>
      <c r="AC96" s="70">
        <f t="shared" si="11"/>
        <v>0</v>
      </c>
      <c r="AD96" s="70">
        <f t="shared" si="11"/>
        <v>0</v>
      </c>
      <c r="AE96" s="70">
        <f t="shared" si="11"/>
        <v>0</v>
      </c>
      <c r="AF96" s="70">
        <f t="shared" si="11"/>
        <v>0</v>
      </c>
      <c r="AG96" s="44">
        <f>SUM(AG92:AG95)</f>
        <v>0</v>
      </c>
    </row>
    <row r="97" spans="1:33" s="41" customFormat="1" ht="19.5" thickBot="1" x14ac:dyDescent="0.35">
      <c r="A97" s="283" t="s">
        <v>350</v>
      </c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  <c r="AA97" s="284"/>
      <c r="AB97" s="284"/>
      <c r="AC97" s="284"/>
      <c r="AD97" s="284"/>
      <c r="AE97" s="284"/>
      <c r="AF97" s="284"/>
      <c r="AG97" s="285"/>
    </row>
    <row r="98" spans="1:33" ht="27" customHeight="1" thickBot="1" x14ac:dyDescent="0.35">
      <c r="A98" s="61" t="s">
        <v>275</v>
      </c>
      <c r="B98" s="10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2"/>
      <c r="AG98" s="49">
        <f>SUM(B98:AF98)</f>
        <v>0</v>
      </c>
    </row>
    <row r="99" spans="1:33" ht="27" customHeight="1" thickBot="1" x14ac:dyDescent="0.35">
      <c r="A99" s="61" t="s">
        <v>276</v>
      </c>
      <c r="B99" s="10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2"/>
      <c r="AG99" s="49">
        <f t="shared" ref="AG99:AG121" si="12">SUM(B99:AF99)</f>
        <v>0</v>
      </c>
    </row>
    <row r="100" spans="1:33" ht="27" customHeight="1" thickBot="1" x14ac:dyDescent="0.35">
      <c r="A100" s="61" t="s">
        <v>277</v>
      </c>
      <c r="B100" s="10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2"/>
      <c r="AG100" s="49">
        <f t="shared" si="12"/>
        <v>0</v>
      </c>
    </row>
    <row r="101" spans="1:33" ht="27" customHeight="1" thickBot="1" x14ac:dyDescent="0.35">
      <c r="A101" s="61" t="s">
        <v>278</v>
      </c>
      <c r="B101" s="10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2"/>
      <c r="AG101" s="49">
        <f t="shared" si="12"/>
        <v>0</v>
      </c>
    </row>
    <row r="102" spans="1:33" ht="27" customHeight="1" thickBot="1" x14ac:dyDescent="0.35">
      <c r="A102" s="61" t="s">
        <v>279</v>
      </c>
      <c r="B102" s="10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2"/>
      <c r="AG102" s="49">
        <f t="shared" si="12"/>
        <v>0</v>
      </c>
    </row>
    <row r="103" spans="1:33" ht="27" customHeight="1" thickBot="1" x14ac:dyDescent="0.35">
      <c r="A103" s="61" t="s">
        <v>280</v>
      </c>
      <c r="B103" s="10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2"/>
      <c r="AG103" s="49">
        <f t="shared" si="12"/>
        <v>0</v>
      </c>
    </row>
    <row r="104" spans="1:33" ht="27" customHeight="1" thickBot="1" x14ac:dyDescent="0.35">
      <c r="A104" s="61" t="s">
        <v>281</v>
      </c>
      <c r="B104" s="10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2"/>
      <c r="AG104" s="49">
        <f t="shared" si="12"/>
        <v>0</v>
      </c>
    </row>
    <row r="105" spans="1:33" ht="27" customHeight="1" thickBot="1" x14ac:dyDescent="0.35">
      <c r="A105" s="61" t="s">
        <v>282</v>
      </c>
      <c r="B105" s="10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2"/>
      <c r="AG105" s="49">
        <f t="shared" si="12"/>
        <v>0</v>
      </c>
    </row>
    <row r="106" spans="1:33" ht="27" customHeight="1" thickBot="1" x14ac:dyDescent="0.35">
      <c r="A106" s="61" t="s">
        <v>283</v>
      </c>
      <c r="B106" s="10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2"/>
      <c r="AG106" s="49">
        <f t="shared" si="12"/>
        <v>0</v>
      </c>
    </row>
    <row r="107" spans="1:33" ht="27" customHeight="1" thickBot="1" x14ac:dyDescent="0.35">
      <c r="A107" s="61" t="s">
        <v>284</v>
      </c>
      <c r="B107" s="10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2"/>
      <c r="AG107" s="49">
        <f t="shared" si="12"/>
        <v>0</v>
      </c>
    </row>
    <row r="108" spans="1:33" ht="27" customHeight="1" thickBot="1" x14ac:dyDescent="0.35">
      <c r="A108" s="61" t="s">
        <v>285</v>
      </c>
      <c r="B108" s="10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2"/>
      <c r="AG108" s="49">
        <f t="shared" si="12"/>
        <v>0</v>
      </c>
    </row>
    <row r="109" spans="1:33" ht="27" customHeight="1" thickBot="1" x14ac:dyDescent="0.35">
      <c r="A109" s="61" t="s">
        <v>286</v>
      </c>
      <c r="B109" s="10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2"/>
      <c r="AG109" s="49">
        <f t="shared" si="12"/>
        <v>0</v>
      </c>
    </row>
    <row r="110" spans="1:33" ht="27" customHeight="1" thickBot="1" x14ac:dyDescent="0.35">
      <c r="A110" s="61" t="s">
        <v>73</v>
      </c>
      <c r="B110" s="10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2"/>
      <c r="AG110" s="49">
        <f t="shared" si="12"/>
        <v>0</v>
      </c>
    </row>
    <row r="111" spans="1:33" ht="27" customHeight="1" thickBot="1" x14ac:dyDescent="0.35">
      <c r="A111" s="61" t="s">
        <v>287</v>
      </c>
      <c r="B111" s="10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2"/>
      <c r="AG111" s="49">
        <f t="shared" si="12"/>
        <v>0</v>
      </c>
    </row>
    <row r="112" spans="1:33" ht="27" customHeight="1" thickBot="1" x14ac:dyDescent="0.35">
      <c r="A112" s="61" t="s">
        <v>288</v>
      </c>
      <c r="B112" s="10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2"/>
      <c r="AG112" s="49">
        <f t="shared" si="12"/>
        <v>0</v>
      </c>
    </row>
    <row r="113" spans="1:35" ht="27" customHeight="1" thickBot="1" x14ac:dyDescent="0.35">
      <c r="A113" s="61" t="s">
        <v>289</v>
      </c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2"/>
      <c r="AG113" s="49">
        <f t="shared" si="12"/>
        <v>0</v>
      </c>
    </row>
    <row r="114" spans="1:35" ht="27" customHeight="1" thickBot="1" x14ac:dyDescent="0.35">
      <c r="A114" s="61" t="s">
        <v>290</v>
      </c>
      <c r="B114" s="10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2"/>
      <c r="AG114" s="49">
        <f t="shared" si="12"/>
        <v>0</v>
      </c>
    </row>
    <row r="115" spans="1:35" ht="27" customHeight="1" thickBot="1" x14ac:dyDescent="0.35">
      <c r="A115" s="61" t="s">
        <v>291</v>
      </c>
      <c r="B115" s="10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9">
        <f t="shared" si="12"/>
        <v>0</v>
      </c>
    </row>
    <row r="116" spans="1:35" ht="27" customHeight="1" thickBot="1" x14ac:dyDescent="0.35">
      <c r="A116" s="61" t="s">
        <v>292</v>
      </c>
      <c r="B116" s="10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2"/>
      <c r="AG116" s="49">
        <f t="shared" si="12"/>
        <v>0</v>
      </c>
    </row>
    <row r="117" spans="1:35" ht="27" customHeight="1" thickBot="1" x14ac:dyDescent="0.35">
      <c r="A117" s="61" t="s">
        <v>293</v>
      </c>
      <c r="B117" s="10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2"/>
      <c r="AG117" s="49">
        <f t="shared" si="12"/>
        <v>0</v>
      </c>
    </row>
    <row r="118" spans="1:35" ht="27" customHeight="1" thickBot="1" x14ac:dyDescent="0.35">
      <c r="A118" s="61" t="s">
        <v>294</v>
      </c>
      <c r="B118" s="10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2"/>
      <c r="AG118" s="49">
        <f t="shared" si="12"/>
        <v>0</v>
      </c>
    </row>
    <row r="119" spans="1:35" ht="27" customHeight="1" thickBot="1" x14ac:dyDescent="0.35">
      <c r="A119" s="61" t="s">
        <v>295</v>
      </c>
      <c r="B119" s="10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2"/>
      <c r="AG119" s="49">
        <f t="shared" si="12"/>
        <v>0</v>
      </c>
    </row>
    <row r="120" spans="1:35" ht="27" customHeight="1" thickBot="1" x14ac:dyDescent="0.35">
      <c r="A120" s="61" t="s">
        <v>296</v>
      </c>
      <c r="B120" s="10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2"/>
      <c r="AG120" s="49">
        <f t="shared" si="12"/>
        <v>0</v>
      </c>
    </row>
    <row r="121" spans="1:35" ht="27" customHeight="1" thickBot="1" x14ac:dyDescent="0.35">
      <c r="A121" s="62" t="s">
        <v>297</v>
      </c>
      <c r="B121" s="135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136"/>
      <c r="AG121" s="49">
        <f t="shared" si="12"/>
        <v>0</v>
      </c>
    </row>
    <row r="122" spans="1:35" ht="27" customHeight="1" thickBot="1" x14ac:dyDescent="0.35">
      <c r="A122" s="46" t="s">
        <v>10</v>
      </c>
      <c r="B122" s="70">
        <f>SUM(B98:B121)</f>
        <v>0</v>
      </c>
      <c r="C122" s="70">
        <f t="shared" ref="C122:AF122" si="13">SUM(C98:C121)</f>
        <v>0</v>
      </c>
      <c r="D122" s="70">
        <f t="shared" si="13"/>
        <v>0</v>
      </c>
      <c r="E122" s="70">
        <f t="shared" si="13"/>
        <v>0</v>
      </c>
      <c r="F122" s="70">
        <f t="shared" si="13"/>
        <v>0</v>
      </c>
      <c r="G122" s="70">
        <f t="shared" si="13"/>
        <v>0</v>
      </c>
      <c r="H122" s="70">
        <f t="shared" si="13"/>
        <v>0</v>
      </c>
      <c r="I122" s="70">
        <f t="shared" si="13"/>
        <v>0</v>
      </c>
      <c r="J122" s="70">
        <f t="shared" si="13"/>
        <v>0</v>
      </c>
      <c r="K122" s="70">
        <f t="shared" si="13"/>
        <v>0</v>
      </c>
      <c r="L122" s="70">
        <f t="shared" si="13"/>
        <v>0</v>
      </c>
      <c r="M122" s="70">
        <f t="shared" si="13"/>
        <v>0</v>
      </c>
      <c r="N122" s="70">
        <f t="shared" si="13"/>
        <v>0</v>
      </c>
      <c r="O122" s="70">
        <f t="shared" si="13"/>
        <v>0</v>
      </c>
      <c r="P122" s="70">
        <f t="shared" si="13"/>
        <v>0</v>
      </c>
      <c r="Q122" s="70">
        <f t="shared" si="13"/>
        <v>0</v>
      </c>
      <c r="R122" s="70">
        <f t="shared" si="13"/>
        <v>0</v>
      </c>
      <c r="S122" s="70">
        <f t="shared" si="13"/>
        <v>0</v>
      </c>
      <c r="T122" s="70">
        <f t="shared" si="13"/>
        <v>0</v>
      </c>
      <c r="U122" s="70">
        <f t="shared" si="13"/>
        <v>0</v>
      </c>
      <c r="V122" s="70">
        <f t="shared" si="13"/>
        <v>0</v>
      </c>
      <c r="W122" s="70">
        <f t="shared" si="13"/>
        <v>0</v>
      </c>
      <c r="X122" s="70">
        <f t="shared" si="13"/>
        <v>0</v>
      </c>
      <c r="Y122" s="70">
        <f t="shared" si="13"/>
        <v>0</v>
      </c>
      <c r="Z122" s="70">
        <f t="shared" si="13"/>
        <v>0</v>
      </c>
      <c r="AA122" s="70">
        <f t="shared" si="13"/>
        <v>0</v>
      </c>
      <c r="AB122" s="70">
        <f t="shared" si="13"/>
        <v>0</v>
      </c>
      <c r="AC122" s="70">
        <f t="shared" si="13"/>
        <v>0</v>
      </c>
      <c r="AD122" s="70">
        <f t="shared" si="13"/>
        <v>0</v>
      </c>
      <c r="AE122" s="70">
        <f t="shared" si="13"/>
        <v>0</v>
      </c>
      <c r="AF122" s="70">
        <f t="shared" si="13"/>
        <v>0</v>
      </c>
      <c r="AG122" s="44">
        <f>SUM(AG98:AG121)</f>
        <v>0</v>
      </c>
    </row>
    <row r="123" spans="1:35" ht="32.25" thickBot="1" x14ac:dyDescent="0.55000000000000004">
      <c r="A123" s="286" t="s">
        <v>189</v>
      </c>
      <c r="B123" s="281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  <c r="AB123" s="281"/>
      <c r="AC123" s="281"/>
      <c r="AD123" s="281"/>
      <c r="AE123" s="281"/>
      <c r="AF123" s="281"/>
      <c r="AG123" s="282"/>
    </row>
    <row r="124" spans="1:35" ht="19.5" thickBot="1" x14ac:dyDescent="0.35">
      <c r="A124" s="283" t="s">
        <v>351</v>
      </c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  <c r="AA124" s="284"/>
      <c r="AB124" s="284"/>
      <c r="AC124" s="284"/>
      <c r="AD124" s="284"/>
      <c r="AE124" s="284"/>
      <c r="AF124" s="284"/>
      <c r="AG124" s="285"/>
    </row>
    <row r="125" spans="1:35" ht="27" customHeight="1" thickBot="1" x14ac:dyDescent="0.35">
      <c r="A125" s="24" t="s">
        <v>214</v>
      </c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8"/>
      <c r="AG125" s="49">
        <f>SUM(B125:AF125)</f>
        <v>0</v>
      </c>
    </row>
    <row r="126" spans="1:35" ht="27" customHeight="1" thickBot="1" x14ac:dyDescent="0.35">
      <c r="A126" s="24" t="s">
        <v>215</v>
      </c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8"/>
      <c r="AG126" s="49">
        <f>SUM(B126:AF126)</f>
        <v>0</v>
      </c>
    </row>
    <row r="127" spans="1:35" ht="27" customHeight="1" thickBot="1" x14ac:dyDescent="0.35">
      <c r="A127" s="24" t="s">
        <v>216</v>
      </c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8"/>
      <c r="AG127" s="49">
        <f>SUM(B127:AF127)</f>
        <v>0</v>
      </c>
    </row>
    <row r="128" spans="1:35" ht="27" customHeight="1" thickBot="1" x14ac:dyDescent="0.35">
      <c r="A128" s="46" t="s">
        <v>10</v>
      </c>
      <c r="B128" s="70">
        <f>SUM(B125:B127)</f>
        <v>0</v>
      </c>
      <c r="C128" s="70">
        <f t="shared" ref="C128:AF128" si="14">SUM(C125:C127)</f>
        <v>0</v>
      </c>
      <c r="D128" s="70">
        <f t="shared" si="14"/>
        <v>0</v>
      </c>
      <c r="E128" s="70">
        <f t="shared" si="14"/>
        <v>0</v>
      </c>
      <c r="F128" s="70">
        <f t="shared" si="14"/>
        <v>0</v>
      </c>
      <c r="G128" s="70">
        <f t="shared" si="14"/>
        <v>0</v>
      </c>
      <c r="H128" s="70">
        <f t="shared" si="14"/>
        <v>0</v>
      </c>
      <c r="I128" s="70">
        <f t="shared" si="14"/>
        <v>0</v>
      </c>
      <c r="J128" s="70">
        <f t="shared" si="14"/>
        <v>0</v>
      </c>
      <c r="K128" s="70">
        <f t="shared" si="14"/>
        <v>0</v>
      </c>
      <c r="L128" s="70">
        <f t="shared" si="14"/>
        <v>0</v>
      </c>
      <c r="M128" s="70">
        <f t="shared" si="14"/>
        <v>0</v>
      </c>
      <c r="N128" s="70">
        <f t="shared" si="14"/>
        <v>0</v>
      </c>
      <c r="O128" s="70">
        <f t="shared" si="14"/>
        <v>0</v>
      </c>
      <c r="P128" s="70">
        <f t="shared" si="14"/>
        <v>0</v>
      </c>
      <c r="Q128" s="70">
        <f t="shared" si="14"/>
        <v>0</v>
      </c>
      <c r="R128" s="70">
        <f t="shared" si="14"/>
        <v>0</v>
      </c>
      <c r="S128" s="70">
        <f t="shared" si="14"/>
        <v>0</v>
      </c>
      <c r="T128" s="70">
        <f t="shared" si="14"/>
        <v>0</v>
      </c>
      <c r="U128" s="70">
        <f t="shared" si="14"/>
        <v>0</v>
      </c>
      <c r="V128" s="70">
        <f t="shared" si="14"/>
        <v>0</v>
      </c>
      <c r="W128" s="70">
        <f t="shared" si="14"/>
        <v>0</v>
      </c>
      <c r="X128" s="70">
        <f t="shared" si="14"/>
        <v>0</v>
      </c>
      <c r="Y128" s="70">
        <f t="shared" si="14"/>
        <v>0</v>
      </c>
      <c r="Z128" s="70">
        <f t="shared" si="14"/>
        <v>0</v>
      </c>
      <c r="AA128" s="70">
        <f t="shared" si="14"/>
        <v>0</v>
      </c>
      <c r="AB128" s="70">
        <f t="shared" si="14"/>
        <v>0</v>
      </c>
      <c r="AC128" s="70">
        <f t="shared" si="14"/>
        <v>0</v>
      </c>
      <c r="AD128" s="70">
        <f t="shared" si="14"/>
        <v>0</v>
      </c>
      <c r="AE128" s="70">
        <f t="shared" si="14"/>
        <v>0</v>
      </c>
      <c r="AF128" s="70">
        <f t="shared" si="14"/>
        <v>0</v>
      </c>
      <c r="AG128" s="44">
        <f>SUM(AG125:AG127)</f>
        <v>0</v>
      </c>
      <c r="AI128" s="140"/>
    </row>
    <row r="129" spans="1:33" ht="18.95" customHeight="1" thickBot="1" x14ac:dyDescent="0.35">
      <c r="A129" s="283" t="s">
        <v>352</v>
      </c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  <c r="AA129" s="284"/>
      <c r="AB129" s="284"/>
      <c r="AC129" s="284"/>
      <c r="AD129" s="284"/>
      <c r="AE129" s="284"/>
      <c r="AF129" s="284"/>
      <c r="AG129" s="285"/>
    </row>
    <row r="130" spans="1:33" ht="27" customHeight="1" thickBot="1" x14ac:dyDescent="0.35">
      <c r="A130" s="24" t="s">
        <v>217</v>
      </c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8"/>
      <c r="AG130" s="49">
        <f>SUM(B130:AF130)</f>
        <v>0</v>
      </c>
    </row>
    <row r="131" spans="1:33" ht="27" customHeight="1" thickBot="1" x14ac:dyDescent="0.35">
      <c r="A131" s="46" t="s">
        <v>10</v>
      </c>
      <c r="B131" s="70">
        <f>SUM(B130)</f>
        <v>0</v>
      </c>
      <c r="C131" s="70">
        <f t="shared" ref="C131:AF131" si="15">SUM(C130)</f>
        <v>0</v>
      </c>
      <c r="D131" s="70">
        <f t="shared" si="15"/>
        <v>0</v>
      </c>
      <c r="E131" s="70">
        <f t="shared" si="15"/>
        <v>0</v>
      </c>
      <c r="F131" s="70">
        <f t="shared" si="15"/>
        <v>0</v>
      </c>
      <c r="G131" s="70">
        <f t="shared" si="15"/>
        <v>0</v>
      </c>
      <c r="H131" s="70">
        <f t="shared" si="15"/>
        <v>0</v>
      </c>
      <c r="I131" s="70">
        <f t="shared" si="15"/>
        <v>0</v>
      </c>
      <c r="J131" s="70">
        <f t="shared" si="15"/>
        <v>0</v>
      </c>
      <c r="K131" s="70">
        <f t="shared" si="15"/>
        <v>0</v>
      </c>
      <c r="L131" s="70">
        <f t="shared" si="15"/>
        <v>0</v>
      </c>
      <c r="M131" s="70">
        <f t="shared" si="15"/>
        <v>0</v>
      </c>
      <c r="N131" s="70">
        <f t="shared" si="15"/>
        <v>0</v>
      </c>
      <c r="O131" s="70">
        <f t="shared" si="15"/>
        <v>0</v>
      </c>
      <c r="P131" s="70">
        <f t="shared" si="15"/>
        <v>0</v>
      </c>
      <c r="Q131" s="70">
        <f t="shared" si="15"/>
        <v>0</v>
      </c>
      <c r="R131" s="70">
        <f t="shared" si="15"/>
        <v>0</v>
      </c>
      <c r="S131" s="70">
        <f t="shared" si="15"/>
        <v>0</v>
      </c>
      <c r="T131" s="70">
        <f t="shared" si="15"/>
        <v>0</v>
      </c>
      <c r="U131" s="70">
        <f t="shared" si="15"/>
        <v>0</v>
      </c>
      <c r="V131" s="70">
        <f t="shared" si="15"/>
        <v>0</v>
      </c>
      <c r="W131" s="70">
        <f t="shared" si="15"/>
        <v>0</v>
      </c>
      <c r="X131" s="70">
        <f t="shared" si="15"/>
        <v>0</v>
      </c>
      <c r="Y131" s="70">
        <f t="shared" si="15"/>
        <v>0</v>
      </c>
      <c r="Z131" s="70">
        <f t="shared" si="15"/>
        <v>0</v>
      </c>
      <c r="AA131" s="70">
        <f t="shared" si="15"/>
        <v>0</v>
      </c>
      <c r="AB131" s="70">
        <f t="shared" si="15"/>
        <v>0</v>
      </c>
      <c r="AC131" s="70">
        <f t="shared" si="15"/>
        <v>0</v>
      </c>
      <c r="AD131" s="70">
        <f t="shared" si="15"/>
        <v>0</v>
      </c>
      <c r="AE131" s="70">
        <f t="shared" si="15"/>
        <v>0</v>
      </c>
      <c r="AF131" s="70">
        <f t="shared" si="15"/>
        <v>0</v>
      </c>
      <c r="AG131" s="44">
        <f>SUM(AG130)</f>
        <v>0</v>
      </c>
    </row>
    <row r="132" spans="1:33" ht="18.95" customHeight="1" thickBot="1" x14ac:dyDescent="0.35">
      <c r="A132" s="283" t="s">
        <v>353</v>
      </c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84"/>
      <c r="AB132" s="284"/>
      <c r="AC132" s="284"/>
      <c r="AD132" s="284"/>
      <c r="AE132" s="284"/>
      <c r="AF132" s="284"/>
      <c r="AG132" s="285"/>
    </row>
    <row r="133" spans="1:33" ht="27" customHeight="1" thickBot="1" x14ac:dyDescent="0.35">
      <c r="A133" s="24" t="s">
        <v>218</v>
      </c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8"/>
      <c r="AG133" s="49">
        <f>SUM(B133:AF133)</f>
        <v>0</v>
      </c>
    </row>
    <row r="134" spans="1:33" ht="27" customHeight="1" thickBot="1" x14ac:dyDescent="0.35">
      <c r="A134" s="46" t="s">
        <v>10</v>
      </c>
      <c r="B134" s="70">
        <f>SUM(B133)</f>
        <v>0</v>
      </c>
      <c r="C134" s="70">
        <f t="shared" ref="C134:AF134" si="16">SUM(C133)</f>
        <v>0</v>
      </c>
      <c r="D134" s="70">
        <f t="shared" si="16"/>
        <v>0</v>
      </c>
      <c r="E134" s="70">
        <f t="shared" si="16"/>
        <v>0</v>
      </c>
      <c r="F134" s="70">
        <f t="shared" si="16"/>
        <v>0</v>
      </c>
      <c r="G134" s="70">
        <f t="shared" si="16"/>
        <v>0</v>
      </c>
      <c r="H134" s="70">
        <f t="shared" si="16"/>
        <v>0</v>
      </c>
      <c r="I134" s="70">
        <f t="shared" si="16"/>
        <v>0</v>
      </c>
      <c r="J134" s="70">
        <f t="shared" si="16"/>
        <v>0</v>
      </c>
      <c r="K134" s="70">
        <f t="shared" si="16"/>
        <v>0</v>
      </c>
      <c r="L134" s="70">
        <f t="shared" si="16"/>
        <v>0</v>
      </c>
      <c r="M134" s="70">
        <f t="shared" si="16"/>
        <v>0</v>
      </c>
      <c r="N134" s="70">
        <f t="shared" si="16"/>
        <v>0</v>
      </c>
      <c r="O134" s="70">
        <f t="shared" si="16"/>
        <v>0</v>
      </c>
      <c r="P134" s="70">
        <f t="shared" si="16"/>
        <v>0</v>
      </c>
      <c r="Q134" s="70">
        <f t="shared" si="16"/>
        <v>0</v>
      </c>
      <c r="R134" s="70">
        <f t="shared" si="16"/>
        <v>0</v>
      </c>
      <c r="S134" s="70">
        <f t="shared" si="16"/>
        <v>0</v>
      </c>
      <c r="T134" s="70">
        <f t="shared" si="16"/>
        <v>0</v>
      </c>
      <c r="U134" s="70">
        <f t="shared" si="16"/>
        <v>0</v>
      </c>
      <c r="V134" s="70">
        <f t="shared" si="16"/>
        <v>0</v>
      </c>
      <c r="W134" s="70">
        <f t="shared" si="16"/>
        <v>0</v>
      </c>
      <c r="X134" s="70">
        <f t="shared" si="16"/>
        <v>0</v>
      </c>
      <c r="Y134" s="70">
        <f t="shared" si="16"/>
        <v>0</v>
      </c>
      <c r="Z134" s="70">
        <f t="shared" si="16"/>
        <v>0</v>
      </c>
      <c r="AA134" s="70">
        <f t="shared" si="16"/>
        <v>0</v>
      </c>
      <c r="AB134" s="70">
        <f t="shared" si="16"/>
        <v>0</v>
      </c>
      <c r="AC134" s="70">
        <f t="shared" si="16"/>
        <v>0</v>
      </c>
      <c r="AD134" s="70">
        <f t="shared" si="16"/>
        <v>0</v>
      </c>
      <c r="AE134" s="70">
        <f t="shared" si="16"/>
        <v>0</v>
      </c>
      <c r="AF134" s="70">
        <f t="shared" si="16"/>
        <v>0</v>
      </c>
      <c r="AG134" s="44">
        <f>SUM(AG133)</f>
        <v>0</v>
      </c>
    </row>
    <row r="135" spans="1:33" ht="18.95" customHeight="1" thickBot="1" x14ac:dyDescent="0.35">
      <c r="A135" s="283" t="s">
        <v>354</v>
      </c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  <c r="AA135" s="284"/>
      <c r="AB135" s="284"/>
      <c r="AC135" s="284"/>
      <c r="AD135" s="284"/>
      <c r="AE135" s="284"/>
      <c r="AF135" s="284"/>
      <c r="AG135" s="285"/>
    </row>
    <row r="136" spans="1:33" ht="27" customHeight="1" thickBot="1" x14ac:dyDescent="0.35">
      <c r="A136" s="170" t="s">
        <v>219</v>
      </c>
      <c r="B136" s="186"/>
      <c r="C136" s="17">
        <v>1</v>
      </c>
      <c r="D136" s="17">
        <v>1</v>
      </c>
      <c r="E136" s="17">
        <v>1</v>
      </c>
      <c r="F136" s="17">
        <v>1</v>
      </c>
      <c r="G136" s="17">
        <v>1</v>
      </c>
      <c r="H136" s="17">
        <v>1</v>
      </c>
      <c r="I136" s="193"/>
      <c r="J136" s="17">
        <v>1</v>
      </c>
      <c r="K136" s="17">
        <v>1</v>
      </c>
      <c r="L136" s="17">
        <v>1</v>
      </c>
      <c r="M136" s="17">
        <v>1</v>
      </c>
      <c r="N136" s="17">
        <v>1</v>
      </c>
      <c r="O136" s="17">
        <v>1</v>
      </c>
      <c r="P136" s="193"/>
      <c r="Q136" s="17">
        <v>1</v>
      </c>
      <c r="R136" s="17">
        <v>1</v>
      </c>
      <c r="S136" s="17">
        <v>1</v>
      </c>
      <c r="T136" s="17">
        <v>1</v>
      </c>
      <c r="U136" s="17">
        <v>1</v>
      </c>
      <c r="V136" s="193"/>
      <c r="W136" s="193"/>
      <c r="X136" s="17"/>
      <c r="Y136" s="193"/>
      <c r="Z136" s="193"/>
      <c r="AA136" s="193"/>
      <c r="AB136" s="193"/>
      <c r="AC136" s="193"/>
      <c r="AD136" s="193"/>
      <c r="AE136" s="17"/>
      <c r="AF136" s="18"/>
      <c r="AG136" s="49">
        <f>SUM(B136:AF136)</f>
        <v>17</v>
      </c>
    </row>
    <row r="137" spans="1:33" ht="27" customHeight="1" thickBot="1" x14ac:dyDescent="0.35">
      <c r="A137" s="24" t="s">
        <v>318</v>
      </c>
      <c r="B137" s="186"/>
      <c r="C137" s="17"/>
      <c r="D137" s="17"/>
      <c r="E137" s="17">
        <v>1</v>
      </c>
      <c r="F137" s="17">
        <v>1</v>
      </c>
      <c r="G137" s="17">
        <v>1</v>
      </c>
      <c r="H137" s="17"/>
      <c r="I137" s="193"/>
      <c r="J137" s="17"/>
      <c r="K137" s="17"/>
      <c r="L137" s="17">
        <v>1</v>
      </c>
      <c r="M137" s="17"/>
      <c r="N137" s="17">
        <v>1</v>
      </c>
      <c r="O137" s="17">
        <v>1</v>
      </c>
      <c r="P137" s="193"/>
      <c r="Q137" s="17">
        <v>1</v>
      </c>
      <c r="R137" s="17"/>
      <c r="S137" s="17">
        <v>1</v>
      </c>
      <c r="T137" s="17"/>
      <c r="U137" s="17"/>
      <c r="V137" s="193"/>
      <c r="W137" s="193"/>
      <c r="X137" s="17"/>
      <c r="Y137" s="193"/>
      <c r="Z137" s="193"/>
      <c r="AA137" s="193"/>
      <c r="AB137" s="193"/>
      <c r="AC137" s="193"/>
      <c r="AD137" s="193"/>
      <c r="AE137" s="17"/>
      <c r="AF137" s="18"/>
      <c r="AG137" s="49">
        <f t="shared" ref="AG137:AG145" si="17">SUM(B137:AF137)</f>
        <v>8</v>
      </c>
    </row>
    <row r="138" spans="1:33" ht="27" customHeight="1" thickBot="1" x14ac:dyDescent="0.35">
      <c r="A138" s="171" t="s">
        <v>220</v>
      </c>
      <c r="B138" s="190"/>
      <c r="C138" s="138"/>
      <c r="D138" s="138"/>
      <c r="E138" s="138"/>
      <c r="F138" s="138"/>
      <c r="G138" s="138"/>
      <c r="H138" s="138"/>
      <c r="I138" s="201"/>
      <c r="J138" s="138"/>
      <c r="K138" s="138"/>
      <c r="L138" s="138"/>
      <c r="M138" s="138"/>
      <c r="N138" s="138"/>
      <c r="O138" s="138"/>
      <c r="P138" s="201"/>
      <c r="Q138" s="138"/>
      <c r="R138" s="138"/>
      <c r="S138" s="138"/>
      <c r="T138" s="138"/>
      <c r="U138" s="138"/>
      <c r="V138" s="201"/>
      <c r="W138" s="201"/>
      <c r="X138" s="138"/>
      <c r="Y138" s="201"/>
      <c r="Z138" s="201"/>
      <c r="AA138" s="201"/>
      <c r="AB138" s="201"/>
      <c r="AC138" s="201"/>
      <c r="AD138" s="201"/>
      <c r="AE138" s="138"/>
      <c r="AF138" s="163"/>
      <c r="AG138" s="49">
        <f t="shared" si="17"/>
        <v>0</v>
      </c>
    </row>
    <row r="139" spans="1:33" ht="27" customHeight="1" thickBot="1" x14ac:dyDescent="0.35">
      <c r="A139" s="60" t="str">
        <f t="shared" ref="A139:A145" si="18">A18</f>
        <v>Demcsákné Rafaj Veronika</v>
      </c>
      <c r="B139" s="187"/>
      <c r="C139" s="5"/>
      <c r="D139" s="5"/>
      <c r="E139" s="5"/>
      <c r="F139" s="5"/>
      <c r="G139" s="5">
        <v>1</v>
      </c>
      <c r="H139" s="5"/>
      <c r="I139" s="189"/>
      <c r="J139" s="5">
        <v>1</v>
      </c>
      <c r="K139" s="5"/>
      <c r="L139" s="5"/>
      <c r="M139" s="5"/>
      <c r="N139" s="5"/>
      <c r="O139" s="5"/>
      <c r="P139" s="189"/>
      <c r="Q139" s="5"/>
      <c r="R139" s="5"/>
      <c r="S139" s="5"/>
      <c r="T139" s="5">
        <v>1</v>
      </c>
      <c r="U139" s="5">
        <v>1</v>
      </c>
      <c r="V139" s="189"/>
      <c r="W139" s="189"/>
      <c r="X139" s="5"/>
      <c r="Y139" s="189"/>
      <c r="Z139" s="189"/>
      <c r="AA139" s="189"/>
      <c r="AB139" s="189"/>
      <c r="AC139" s="189"/>
      <c r="AD139" s="189"/>
      <c r="AE139" s="5"/>
      <c r="AF139" s="5"/>
      <c r="AG139" s="49">
        <f t="shared" si="17"/>
        <v>4</v>
      </c>
    </row>
    <row r="140" spans="1:33" ht="27" customHeight="1" thickBot="1" x14ac:dyDescent="0.35">
      <c r="A140" s="60" t="str">
        <f t="shared" si="18"/>
        <v>Skorka Kitti</v>
      </c>
      <c r="B140" s="187"/>
      <c r="C140" s="5"/>
      <c r="D140" s="5">
        <v>1</v>
      </c>
      <c r="E140" s="5"/>
      <c r="F140" s="5"/>
      <c r="G140" s="5">
        <v>1</v>
      </c>
      <c r="H140" s="5"/>
      <c r="I140" s="189"/>
      <c r="J140" s="5">
        <v>1</v>
      </c>
      <c r="K140" s="5"/>
      <c r="L140" s="5">
        <v>1</v>
      </c>
      <c r="M140" s="5"/>
      <c r="N140" s="5">
        <v>1</v>
      </c>
      <c r="O140" s="5"/>
      <c r="P140" s="189"/>
      <c r="Q140" s="5"/>
      <c r="R140" s="5">
        <v>1</v>
      </c>
      <c r="S140" s="5"/>
      <c r="T140" s="5">
        <v>1</v>
      </c>
      <c r="U140" s="5"/>
      <c r="V140" s="189"/>
      <c r="W140" s="189"/>
      <c r="X140" s="5"/>
      <c r="Y140" s="189"/>
      <c r="Z140" s="189"/>
      <c r="AA140" s="189"/>
      <c r="AB140" s="189"/>
      <c r="AC140" s="189"/>
      <c r="AD140" s="189"/>
      <c r="AE140" s="5"/>
      <c r="AF140" s="5"/>
      <c r="AG140" s="49">
        <f t="shared" si="17"/>
        <v>7</v>
      </c>
    </row>
    <row r="141" spans="1:33" ht="27" customHeight="1" thickBot="1" x14ac:dyDescent="0.35">
      <c r="A141" s="60" t="str">
        <f t="shared" si="18"/>
        <v>Cseri Ildikó</v>
      </c>
      <c r="B141" s="187"/>
      <c r="C141" s="5"/>
      <c r="D141" s="5"/>
      <c r="E141" s="5"/>
      <c r="F141" s="5"/>
      <c r="G141" s="5"/>
      <c r="H141" s="5"/>
      <c r="I141" s="189"/>
      <c r="J141" s="5"/>
      <c r="K141" s="5"/>
      <c r="L141" s="5"/>
      <c r="M141" s="5"/>
      <c r="N141" s="5"/>
      <c r="O141" s="5"/>
      <c r="P141" s="189"/>
      <c r="Q141" s="5"/>
      <c r="R141" s="5"/>
      <c r="S141" s="5"/>
      <c r="T141" s="5"/>
      <c r="U141" s="5"/>
      <c r="V141" s="189"/>
      <c r="W141" s="189"/>
      <c r="X141" s="5"/>
      <c r="Y141" s="189"/>
      <c r="Z141" s="189"/>
      <c r="AA141" s="189"/>
      <c r="AB141" s="189"/>
      <c r="AC141" s="189"/>
      <c r="AD141" s="189"/>
      <c r="AE141" s="5"/>
      <c r="AF141" s="5"/>
      <c r="AG141" s="49">
        <f t="shared" si="17"/>
        <v>0</v>
      </c>
    </row>
    <row r="142" spans="1:33" ht="27" customHeight="1" thickBot="1" x14ac:dyDescent="0.35">
      <c r="A142" s="60" t="str">
        <f t="shared" si="18"/>
        <v>Himmer Péter</v>
      </c>
      <c r="B142" s="187">
        <v>1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189">
        <v>1</v>
      </c>
      <c r="J142" s="5">
        <v>1</v>
      </c>
      <c r="K142" s="5">
        <v>1</v>
      </c>
      <c r="L142" s="5">
        <v>1</v>
      </c>
      <c r="M142" s="5">
        <v>1</v>
      </c>
      <c r="N142" s="5">
        <v>1</v>
      </c>
      <c r="O142" s="5">
        <v>1</v>
      </c>
      <c r="P142" s="189">
        <v>1</v>
      </c>
      <c r="Q142" s="5">
        <v>1</v>
      </c>
      <c r="R142" s="5">
        <v>1</v>
      </c>
      <c r="S142" s="5">
        <v>1</v>
      </c>
      <c r="T142" s="5">
        <v>1</v>
      </c>
      <c r="U142" s="5">
        <v>1</v>
      </c>
      <c r="V142" s="189">
        <v>1</v>
      </c>
      <c r="W142" s="189">
        <v>1</v>
      </c>
      <c r="X142" s="5">
        <v>1</v>
      </c>
      <c r="Y142" s="189">
        <v>1</v>
      </c>
      <c r="Z142" s="189">
        <v>1</v>
      </c>
      <c r="AA142" s="189">
        <v>1</v>
      </c>
      <c r="AB142" s="189">
        <v>1</v>
      </c>
      <c r="AC142" s="189">
        <v>1</v>
      </c>
      <c r="AD142" s="189">
        <v>1</v>
      </c>
      <c r="AE142" s="5">
        <v>1</v>
      </c>
      <c r="AF142" s="5">
        <v>1</v>
      </c>
      <c r="AG142" s="49">
        <f t="shared" si="17"/>
        <v>31</v>
      </c>
    </row>
    <row r="143" spans="1:33" ht="27" customHeight="1" thickBot="1" x14ac:dyDescent="0.35">
      <c r="A143" s="60">
        <f t="shared" si="18"/>
        <v>0</v>
      </c>
      <c r="B143" s="187"/>
      <c r="C143" s="5"/>
      <c r="D143" s="5"/>
      <c r="E143" s="5"/>
      <c r="F143" s="5"/>
      <c r="G143" s="5"/>
      <c r="H143" s="5"/>
      <c r="I143" s="189"/>
      <c r="J143" s="5"/>
      <c r="K143" s="5"/>
      <c r="L143" s="5"/>
      <c r="M143" s="5"/>
      <c r="N143" s="5"/>
      <c r="O143" s="5"/>
      <c r="P143" s="189"/>
      <c r="Q143" s="5"/>
      <c r="R143" s="5"/>
      <c r="S143" s="5"/>
      <c r="T143" s="5"/>
      <c r="U143" s="5"/>
      <c r="V143" s="189"/>
      <c r="W143" s="189"/>
      <c r="X143" s="5"/>
      <c r="Y143" s="189"/>
      <c r="Z143" s="189"/>
      <c r="AA143" s="189"/>
      <c r="AB143" s="189"/>
      <c r="AC143" s="189"/>
      <c r="AD143" s="189"/>
      <c r="AE143" s="5"/>
      <c r="AF143" s="5"/>
      <c r="AG143" s="49">
        <f t="shared" si="17"/>
        <v>0</v>
      </c>
    </row>
    <row r="144" spans="1:33" ht="27" customHeight="1" thickBot="1" x14ac:dyDescent="0.35">
      <c r="A144" s="60">
        <f t="shared" si="18"/>
        <v>0</v>
      </c>
      <c r="B144" s="187"/>
      <c r="C144" s="5"/>
      <c r="D144" s="5"/>
      <c r="E144" s="5"/>
      <c r="F144" s="5"/>
      <c r="G144" s="5"/>
      <c r="H144" s="5"/>
      <c r="I144" s="189"/>
      <c r="J144" s="5"/>
      <c r="K144" s="5"/>
      <c r="L144" s="5"/>
      <c r="M144" s="5"/>
      <c r="N144" s="5"/>
      <c r="O144" s="5"/>
      <c r="P144" s="189"/>
      <c r="Q144" s="5"/>
      <c r="R144" s="5"/>
      <c r="S144" s="5"/>
      <c r="T144" s="5"/>
      <c r="U144" s="5"/>
      <c r="V144" s="189"/>
      <c r="W144" s="189"/>
      <c r="X144" s="5"/>
      <c r="Y144" s="189"/>
      <c r="Z144" s="189"/>
      <c r="AA144" s="189"/>
      <c r="AB144" s="189"/>
      <c r="AC144" s="189"/>
      <c r="AD144" s="189"/>
      <c r="AE144" s="5"/>
      <c r="AF144" s="5"/>
      <c r="AG144" s="49">
        <f t="shared" si="17"/>
        <v>0</v>
      </c>
    </row>
    <row r="145" spans="1:33" ht="27" customHeight="1" thickBot="1" x14ac:dyDescent="0.35">
      <c r="A145" s="62">
        <f t="shared" si="18"/>
        <v>0</v>
      </c>
      <c r="B145" s="192"/>
      <c r="C145" s="23"/>
      <c r="D145" s="23"/>
      <c r="E145" s="23"/>
      <c r="F145" s="23"/>
      <c r="G145" s="23"/>
      <c r="H145" s="23"/>
      <c r="I145" s="202"/>
      <c r="J145" s="23"/>
      <c r="K145" s="23"/>
      <c r="L145" s="23"/>
      <c r="M145" s="23"/>
      <c r="N145" s="23"/>
      <c r="O145" s="23"/>
      <c r="P145" s="202"/>
      <c r="Q145" s="23"/>
      <c r="R145" s="23"/>
      <c r="S145" s="23"/>
      <c r="T145" s="23"/>
      <c r="U145" s="23"/>
      <c r="V145" s="202"/>
      <c r="W145" s="202"/>
      <c r="X145" s="23"/>
      <c r="Y145" s="202"/>
      <c r="Z145" s="202"/>
      <c r="AA145" s="202"/>
      <c r="AB145" s="202"/>
      <c r="AC145" s="202"/>
      <c r="AD145" s="202"/>
      <c r="AE145" s="23"/>
      <c r="AF145" s="66"/>
      <c r="AG145" s="49">
        <f t="shared" si="17"/>
        <v>0</v>
      </c>
    </row>
    <row r="146" spans="1:33" ht="27" customHeight="1" thickBot="1" x14ac:dyDescent="0.35">
      <c r="A146" s="46" t="s">
        <v>10</v>
      </c>
      <c r="B146" s="70">
        <f>SUM(B136:B145)</f>
        <v>1</v>
      </c>
      <c r="C146" s="70">
        <f t="shared" ref="C146:AF146" si="19">SUM(C136:C145)</f>
        <v>2</v>
      </c>
      <c r="D146" s="70">
        <f t="shared" si="19"/>
        <v>3</v>
      </c>
      <c r="E146" s="70">
        <f t="shared" si="19"/>
        <v>3</v>
      </c>
      <c r="F146" s="70">
        <f t="shared" si="19"/>
        <v>3</v>
      </c>
      <c r="G146" s="70">
        <f t="shared" si="19"/>
        <v>5</v>
      </c>
      <c r="H146" s="70">
        <f t="shared" si="19"/>
        <v>2</v>
      </c>
      <c r="I146" s="70">
        <f t="shared" si="19"/>
        <v>1</v>
      </c>
      <c r="J146" s="70">
        <f t="shared" si="19"/>
        <v>4</v>
      </c>
      <c r="K146" s="70">
        <f t="shared" si="19"/>
        <v>2</v>
      </c>
      <c r="L146" s="70">
        <f t="shared" si="19"/>
        <v>4</v>
      </c>
      <c r="M146" s="70">
        <f t="shared" si="19"/>
        <v>2</v>
      </c>
      <c r="N146" s="70">
        <f t="shared" si="19"/>
        <v>4</v>
      </c>
      <c r="O146" s="70">
        <f t="shared" si="19"/>
        <v>3</v>
      </c>
      <c r="P146" s="70">
        <f t="shared" si="19"/>
        <v>1</v>
      </c>
      <c r="Q146" s="70">
        <f t="shared" si="19"/>
        <v>3</v>
      </c>
      <c r="R146" s="70">
        <f t="shared" si="19"/>
        <v>3</v>
      </c>
      <c r="S146" s="70">
        <f t="shared" si="19"/>
        <v>3</v>
      </c>
      <c r="T146" s="70">
        <f t="shared" si="19"/>
        <v>4</v>
      </c>
      <c r="U146" s="70">
        <f t="shared" si="19"/>
        <v>3</v>
      </c>
      <c r="V146" s="70">
        <f t="shared" si="19"/>
        <v>1</v>
      </c>
      <c r="W146" s="70">
        <f t="shared" si="19"/>
        <v>1</v>
      </c>
      <c r="X146" s="70">
        <f t="shared" si="19"/>
        <v>1</v>
      </c>
      <c r="Y146" s="70">
        <f t="shared" si="19"/>
        <v>1</v>
      </c>
      <c r="Z146" s="70">
        <f t="shared" si="19"/>
        <v>1</v>
      </c>
      <c r="AA146" s="70">
        <f t="shared" si="19"/>
        <v>1</v>
      </c>
      <c r="AB146" s="70">
        <f t="shared" si="19"/>
        <v>1</v>
      </c>
      <c r="AC146" s="70">
        <f t="shared" si="19"/>
        <v>1</v>
      </c>
      <c r="AD146" s="70">
        <f t="shared" si="19"/>
        <v>1</v>
      </c>
      <c r="AE146" s="70">
        <f t="shared" si="19"/>
        <v>1</v>
      </c>
      <c r="AF146" s="70">
        <f t="shared" si="19"/>
        <v>1</v>
      </c>
      <c r="AG146" s="44">
        <f>SUM(AG136:AG145)</f>
        <v>67</v>
      </c>
    </row>
    <row r="147" spans="1:33" ht="18.95" customHeight="1" thickBot="1" x14ac:dyDescent="0.35">
      <c r="A147" s="290" t="s">
        <v>355</v>
      </c>
      <c r="B147" s="291"/>
      <c r="C147" s="291"/>
      <c r="D147" s="291"/>
      <c r="E147" s="291"/>
      <c r="F147" s="291"/>
      <c r="G147" s="291"/>
      <c r="H147" s="291"/>
      <c r="I147" s="291"/>
      <c r="J147" s="291"/>
      <c r="K147" s="291"/>
      <c r="L147" s="291"/>
      <c r="M147" s="291"/>
      <c r="N147" s="291"/>
      <c r="O147" s="291"/>
      <c r="P147" s="291"/>
      <c r="Q147" s="291"/>
      <c r="R147" s="291"/>
      <c r="S147" s="291"/>
      <c r="T147" s="291"/>
      <c r="U147" s="291"/>
      <c r="V147" s="291"/>
      <c r="W147" s="291"/>
      <c r="X147" s="291"/>
      <c r="Y147" s="291"/>
      <c r="Z147" s="291"/>
      <c r="AA147" s="291"/>
      <c r="AB147" s="291"/>
      <c r="AC147" s="291"/>
      <c r="AD147" s="291"/>
      <c r="AE147" s="291"/>
      <c r="AF147" s="291"/>
      <c r="AG147" s="292"/>
    </row>
    <row r="148" spans="1:33" ht="27" customHeight="1" thickBot="1" x14ac:dyDescent="0.35">
      <c r="A148" s="24" t="s">
        <v>221</v>
      </c>
      <c r="B148" s="186"/>
      <c r="C148" s="17"/>
      <c r="D148" s="17"/>
      <c r="E148" s="17"/>
      <c r="F148" s="17"/>
      <c r="G148" s="17"/>
      <c r="H148" s="17"/>
      <c r="I148" s="193"/>
      <c r="J148" s="17"/>
      <c r="K148" s="17"/>
      <c r="L148" s="17"/>
      <c r="M148" s="17"/>
      <c r="N148" s="17"/>
      <c r="O148" s="17"/>
      <c r="P148" s="193"/>
      <c r="Q148" s="17"/>
      <c r="R148" s="17"/>
      <c r="S148" s="17"/>
      <c r="T148" s="17"/>
      <c r="U148" s="17"/>
      <c r="V148" s="193"/>
      <c r="W148" s="193"/>
      <c r="X148" s="17"/>
      <c r="Y148" s="193"/>
      <c r="Z148" s="193"/>
      <c r="AA148" s="193"/>
      <c r="AB148" s="193"/>
      <c r="AC148" s="193"/>
      <c r="AD148" s="193"/>
      <c r="AE148" s="17"/>
      <c r="AF148" s="18"/>
      <c r="AG148" s="49">
        <f>SUM(B148:AF148)</f>
        <v>0</v>
      </c>
    </row>
    <row r="149" spans="1:33" ht="27" customHeight="1" thickBot="1" x14ac:dyDescent="0.35">
      <c r="A149" s="24" t="s">
        <v>222</v>
      </c>
      <c r="B149" s="186"/>
      <c r="C149" s="17"/>
      <c r="D149" s="17"/>
      <c r="E149" s="17"/>
      <c r="F149" s="17"/>
      <c r="G149" s="17"/>
      <c r="H149" s="17"/>
      <c r="I149" s="193"/>
      <c r="J149" s="17"/>
      <c r="K149" s="17"/>
      <c r="L149" s="17"/>
      <c r="M149" s="17"/>
      <c r="N149" s="17"/>
      <c r="O149" s="17"/>
      <c r="P149" s="193"/>
      <c r="Q149" s="17"/>
      <c r="R149" s="17"/>
      <c r="S149" s="17"/>
      <c r="T149" s="17"/>
      <c r="U149" s="17"/>
      <c r="V149" s="193"/>
      <c r="W149" s="193"/>
      <c r="X149" s="17"/>
      <c r="Y149" s="193"/>
      <c r="Z149" s="193"/>
      <c r="AA149" s="193"/>
      <c r="AB149" s="193"/>
      <c r="AC149" s="193"/>
      <c r="AD149" s="193"/>
      <c r="AE149" s="17"/>
      <c r="AF149" s="18"/>
      <c r="AG149" s="49">
        <f>SUM(B149:AF149)</f>
        <v>0</v>
      </c>
    </row>
    <row r="150" spans="1:33" ht="27" customHeight="1" thickBot="1" x14ac:dyDescent="0.35">
      <c r="A150" s="24" t="s">
        <v>223</v>
      </c>
      <c r="B150" s="186"/>
      <c r="C150" s="17">
        <v>1</v>
      </c>
      <c r="D150" s="17">
        <v>1</v>
      </c>
      <c r="E150" s="17"/>
      <c r="F150" s="17">
        <v>1</v>
      </c>
      <c r="G150" s="17">
        <v>1</v>
      </c>
      <c r="H150" s="17"/>
      <c r="I150" s="193"/>
      <c r="J150" s="17">
        <v>1</v>
      </c>
      <c r="K150" s="17">
        <v>1</v>
      </c>
      <c r="L150" s="17">
        <v>1</v>
      </c>
      <c r="M150" s="17">
        <v>1</v>
      </c>
      <c r="N150" s="17">
        <v>1</v>
      </c>
      <c r="O150" s="17"/>
      <c r="P150" s="193"/>
      <c r="Q150" s="17"/>
      <c r="R150" s="17"/>
      <c r="S150" s="17"/>
      <c r="T150" s="17"/>
      <c r="U150" s="17"/>
      <c r="V150" s="193"/>
      <c r="W150" s="193"/>
      <c r="X150" s="17"/>
      <c r="Y150" s="193"/>
      <c r="Z150" s="193"/>
      <c r="AA150" s="193"/>
      <c r="AB150" s="193"/>
      <c r="AC150" s="193"/>
      <c r="AD150" s="193"/>
      <c r="AE150" s="17"/>
      <c r="AF150" s="18"/>
      <c r="AG150" s="49">
        <f>SUM(B150:AF150)</f>
        <v>9</v>
      </c>
    </row>
    <row r="151" spans="1:33" ht="27" customHeight="1" thickBot="1" x14ac:dyDescent="0.35">
      <c r="A151" s="24" t="s">
        <v>453</v>
      </c>
      <c r="B151" s="186"/>
      <c r="C151" s="17">
        <v>1</v>
      </c>
      <c r="D151" s="17">
        <v>1</v>
      </c>
      <c r="E151" s="17">
        <v>1</v>
      </c>
      <c r="F151" s="17">
        <v>1</v>
      </c>
      <c r="G151" s="17">
        <v>1</v>
      </c>
      <c r="H151" s="17"/>
      <c r="I151" s="193"/>
      <c r="J151" s="17">
        <v>1</v>
      </c>
      <c r="K151" s="17">
        <v>1</v>
      </c>
      <c r="L151" s="17">
        <v>1</v>
      </c>
      <c r="M151" s="17">
        <v>1</v>
      </c>
      <c r="N151" s="17">
        <v>1</v>
      </c>
      <c r="O151" s="17"/>
      <c r="P151" s="193"/>
      <c r="Q151" s="17">
        <v>1</v>
      </c>
      <c r="R151" s="17">
        <v>1</v>
      </c>
      <c r="S151" s="17">
        <v>1</v>
      </c>
      <c r="T151" s="17">
        <v>1</v>
      </c>
      <c r="U151" s="17">
        <v>1</v>
      </c>
      <c r="V151" s="193"/>
      <c r="W151" s="193"/>
      <c r="X151" s="17"/>
      <c r="Y151" s="193"/>
      <c r="Z151" s="193"/>
      <c r="AA151" s="193"/>
      <c r="AB151" s="193"/>
      <c r="AC151" s="193"/>
      <c r="AD151" s="193"/>
      <c r="AE151" s="17"/>
      <c r="AF151" s="18"/>
      <c r="AG151" s="49">
        <f>SUM(B151:AF151)</f>
        <v>15</v>
      </c>
    </row>
    <row r="152" spans="1:33" ht="27" customHeight="1" thickBot="1" x14ac:dyDescent="0.35">
      <c r="A152" s="24" t="s">
        <v>224</v>
      </c>
      <c r="B152" s="186"/>
      <c r="C152" s="17">
        <v>1</v>
      </c>
      <c r="D152" s="17">
        <v>1</v>
      </c>
      <c r="E152" s="17">
        <v>1</v>
      </c>
      <c r="F152" s="17">
        <v>1</v>
      </c>
      <c r="G152" s="17">
        <v>1</v>
      </c>
      <c r="H152" s="17"/>
      <c r="I152" s="193"/>
      <c r="J152" s="17"/>
      <c r="K152" s="17">
        <v>1</v>
      </c>
      <c r="L152" s="17">
        <v>1</v>
      </c>
      <c r="M152" s="17">
        <v>1</v>
      </c>
      <c r="N152" s="17">
        <v>1</v>
      </c>
      <c r="O152" s="17"/>
      <c r="P152" s="193"/>
      <c r="Q152" s="17">
        <v>1</v>
      </c>
      <c r="R152" s="17">
        <v>1</v>
      </c>
      <c r="S152" s="17">
        <v>1</v>
      </c>
      <c r="T152" s="17">
        <v>1</v>
      </c>
      <c r="U152" s="17">
        <v>1</v>
      </c>
      <c r="V152" s="193"/>
      <c r="W152" s="193"/>
      <c r="X152" s="17"/>
      <c r="Y152" s="193"/>
      <c r="Z152" s="193"/>
      <c r="AA152" s="193"/>
      <c r="AB152" s="193"/>
      <c r="AC152" s="193"/>
      <c r="AD152" s="193"/>
      <c r="AE152" s="17"/>
      <c r="AF152" s="18"/>
      <c r="AG152" s="49">
        <f>SUM(B152:AF152)</f>
        <v>14</v>
      </c>
    </row>
    <row r="153" spans="1:33" ht="27" customHeight="1" thickBot="1" x14ac:dyDescent="0.35">
      <c r="A153" s="46" t="s">
        <v>10</v>
      </c>
      <c r="B153" s="70">
        <f>SUM(B148:B152)</f>
        <v>0</v>
      </c>
      <c r="C153" s="70">
        <f t="shared" ref="C153:AF153" si="20">SUM(C148:C152)</f>
        <v>3</v>
      </c>
      <c r="D153" s="70">
        <f t="shared" si="20"/>
        <v>3</v>
      </c>
      <c r="E153" s="70">
        <f t="shared" si="20"/>
        <v>2</v>
      </c>
      <c r="F153" s="70">
        <f t="shared" si="20"/>
        <v>3</v>
      </c>
      <c r="G153" s="70">
        <f t="shared" si="20"/>
        <v>3</v>
      </c>
      <c r="H153" s="70">
        <f t="shared" si="20"/>
        <v>0</v>
      </c>
      <c r="I153" s="70">
        <f t="shared" si="20"/>
        <v>0</v>
      </c>
      <c r="J153" s="70">
        <f t="shared" si="20"/>
        <v>2</v>
      </c>
      <c r="K153" s="70">
        <f t="shared" si="20"/>
        <v>3</v>
      </c>
      <c r="L153" s="70">
        <f t="shared" si="20"/>
        <v>3</v>
      </c>
      <c r="M153" s="70">
        <f t="shared" si="20"/>
        <v>3</v>
      </c>
      <c r="N153" s="70">
        <f t="shared" si="20"/>
        <v>3</v>
      </c>
      <c r="O153" s="70">
        <f t="shared" si="20"/>
        <v>0</v>
      </c>
      <c r="P153" s="70">
        <f t="shared" si="20"/>
        <v>0</v>
      </c>
      <c r="Q153" s="70">
        <f t="shared" si="20"/>
        <v>2</v>
      </c>
      <c r="R153" s="70">
        <f t="shared" si="20"/>
        <v>2</v>
      </c>
      <c r="S153" s="70">
        <f t="shared" si="20"/>
        <v>2</v>
      </c>
      <c r="T153" s="70">
        <f t="shared" si="20"/>
        <v>2</v>
      </c>
      <c r="U153" s="70">
        <f t="shared" si="20"/>
        <v>2</v>
      </c>
      <c r="V153" s="70">
        <f t="shared" si="20"/>
        <v>0</v>
      </c>
      <c r="W153" s="70">
        <f t="shared" si="20"/>
        <v>0</v>
      </c>
      <c r="X153" s="70">
        <f t="shared" si="20"/>
        <v>0</v>
      </c>
      <c r="Y153" s="70">
        <f t="shared" si="20"/>
        <v>0</v>
      </c>
      <c r="Z153" s="70">
        <f t="shared" si="20"/>
        <v>0</v>
      </c>
      <c r="AA153" s="70">
        <f t="shared" si="20"/>
        <v>0</v>
      </c>
      <c r="AB153" s="70">
        <f t="shared" si="20"/>
        <v>0</v>
      </c>
      <c r="AC153" s="70">
        <f t="shared" si="20"/>
        <v>0</v>
      </c>
      <c r="AD153" s="70">
        <f t="shared" si="20"/>
        <v>0</v>
      </c>
      <c r="AE153" s="70">
        <f t="shared" si="20"/>
        <v>0</v>
      </c>
      <c r="AF153" s="70">
        <f t="shared" si="20"/>
        <v>0</v>
      </c>
      <c r="AG153" s="44">
        <f>SUM(AG148:AG152)</f>
        <v>38</v>
      </c>
    </row>
    <row r="154" spans="1:33" ht="18.95" customHeight="1" thickBot="1" x14ac:dyDescent="0.35">
      <c r="A154" s="283" t="s">
        <v>356</v>
      </c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  <c r="AA154" s="284"/>
      <c r="AB154" s="284"/>
      <c r="AC154" s="284"/>
      <c r="AD154" s="284"/>
      <c r="AE154" s="284"/>
      <c r="AF154" s="284"/>
      <c r="AG154" s="285"/>
    </row>
    <row r="155" spans="1:33" ht="27" customHeight="1" thickBot="1" x14ac:dyDescent="0.35">
      <c r="A155" s="24" t="s">
        <v>225</v>
      </c>
      <c r="B155" s="186"/>
      <c r="C155" s="17">
        <v>1</v>
      </c>
      <c r="D155" s="17">
        <v>1</v>
      </c>
      <c r="E155" s="17">
        <v>1</v>
      </c>
      <c r="F155" s="17">
        <v>1</v>
      </c>
      <c r="G155" s="17">
        <v>1</v>
      </c>
      <c r="H155" s="17"/>
      <c r="I155" s="193"/>
      <c r="J155" s="17">
        <v>1</v>
      </c>
      <c r="K155" s="17">
        <v>1</v>
      </c>
      <c r="L155" s="17">
        <v>1</v>
      </c>
      <c r="M155" s="17">
        <v>1</v>
      </c>
      <c r="N155" s="17">
        <v>1</v>
      </c>
      <c r="O155" s="17"/>
      <c r="P155" s="193"/>
      <c r="Q155" s="17">
        <v>1</v>
      </c>
      <c r="R155" s="17">
        <v>1</v>
      </c>
      <c r="S155" s="17">
        <v>1</v>
      </c>
      <c r="T155" s="17">
        <v>1</v>
      </c>
      <c r="U155" s="17">
        <v>1</v>
      </c>
      <c r="V155" s="193"/>
      <c r="W155" s="193"/>
      <c r="X155" s="17">
        <v>1</v>
      </c>
      <c r="Y155" s="193"/>
      <c r="Z155" s="193"/>
      <c r="AA155" s="193"/>
      <c r="AB155" s="193"/>
      <c r="AC155" s="193"/>
      <c r="AD155" s="193"/>
      <c r="AE155" s="17">
        <v>1</v>
      </c>
      <c r="AF155" s="18">
        <v>1</v>
      </c>
      <c r="AG155" s="49">
        <f>SUM(B155:AF155)</f>
        <v>18</v>
      </c>
    </row>
    <row r="156" spans="1:33" ht="27" customHeight="1" thickBot="1" x14ac:dyDescent="0.35">
      <c r="A156" s="24" t="s">
        <v>269</v>
      </c>
      <c r="B156" s="186"/>
      <c r="C156" s="17">
        <v>1</v>
      </c>
      <c r="D156" s="17">
        <v>1</v>
      </c>
      <c r="E156" s="17">
        <v>1</v>
      </c>
      <c r="F156" s="17">
        <v>1</v>
      </c>
      <c r="G156" s="17">
        <v>1</v>
      </c>
      <c r="H156" s="17"/>
      <c r="I156" s="193"/>
      <c r="J156" s="17">
        <v>1</v>
      </c>
      <c r="K156" s="17">
        <v>1</v>
      </c>
      <c r="L156" s="17">
        <v>1</v>
      </c>
      <c r="M156" s="17">
        <v>1</v>
      </c>
      <c r="N156" s="17">
        <v>1</v>
      </c>
      <c r="O156" s="17"/>
      <c r="P156" s="193"/>
      <c r="Q156" s="17">
        <v>1</v>
      </c>
      <c r="R156" s="17">
        <v>1</v>
      </c>
      <c r="S156" s="17">
        <v>1</v>
      </c>
      <c r="T156" s="17">
        <v>1</v>
      </c>
      <c r="U156" s="17">
        <v>1</v>
      </c>
      <c r="V156" s="193"/>
      <c r="W156" s="193"/>
      <c r="X156" s="17">
        <v>1</v>
      </c>
      <c r="Y156" s="193"/>
      <c r="Z156" s="193"/>
      <c r="AA156" s="193"/>
      <c r="AB156" s="193"/>
      <c r="AC156" s="193"/>
      <c r="AD156" s="193"/>
      <c r="AE156" s="17">
        <v>1</v>
      </c>
      <c r="AF156" s="18">
        <v>1</v>
      </c>
      <c r="AG156" s="49">
        <f>SUM(B156:AF156)</f>
        <v>18</v>
      </c>
    </row>
    <row r="157" spans="1:33" ht="27" customHeight="1" thickBot="1" x14ac:dyDescent="0.35">
      <c r="A157" s="24" t="s">
        <v>226</v>
      </c>
      <c r="B157" s="186"/>
      <c r="C157" s="17"/>
      <c r="D157" s="17"/>
      <c r="E157" s="17"/>
      <c r="F157" s="17"/>
      <c r="G157" s="17"/>
      <c r="H157" s="17"/>
      <c r="I157" s="193"/>
      <c r="J157" s="17"/>
      <c r="K157" s="17"/>
      <c r="L157" s="17"/>
      <c r="M157" s="17"/>
      <c r="N157" s="17"/>
      <c r="O157" s="17"/>
      <c r="P157" s="193"/>
      <c r="Q157" s="17"/>
      <c r="R157" s="17"/>
      <c r="S157" s="17"/>
      <c r="T157" s="17"/>
      <c r="U157" s="17"/>
      <c r="V157" s="193"/>
      <c r="W157" s="193"/>
      <c r="X157" s="17"/>
      <c r="Y157" s="193"/>
      <c r="Z157" s="193"/>
      <c r="AA157" s="193"/>
      <c r="AB157" s="193"/>
      <c r="AC157" s="193"/>
      <c r="AD157" s="193"/>
      <c r="AE157" s="17"/>
      <c r="AF157" s="18"/>
      <c r="AG157" s="49">
        <f>SUM(B157:AF157)</f>
        <v>0</v>
      </c>
    </row>
    <row r="158" spans="1:33" ht="27" customHeight="1" thickBot="1" x14ac:dyDescent="0.35">
      <c r="A158" s="24" t="s">
        <v>227</v>
      </c>
      <c r="B158" s="186"/>
      <c r="C158" s="17">
        <v>1</v>
      </c>
      <c r="D158" s="17">
        <v>1</v>
      </c>
      <c r="E158" s="17">
        <v>1</v>
      </c>
      <c r="F158" s="17">
        <v>1</v>
      </c>
      <c r="G158" s="17">
        <v>1</v>
      </c>
      <c r="H158" s="17"/>
      <c r="I158" s="193"/>
      <c r="J158" s="17">
        <v>1</v>
      </c>
      <c r="K158" s="17">
        <v>1</v>
      </c>
      <c r="L158" s="17">
        <v>1</v>
      </c>
      <c r="M158" s="17">
        <v>1</v>
      </c>
      <c r="N158" s="17">
        <v>1</v>
      </c>
      <c r="O158" s="17"/>
      <c r="P158" s="193"/>
      <c r="Q158" s="17">
        <v>1</v>
      </c>
      <c r="R158" s="17">
        <v>1</v>
      </c>
      <c r="S158" s="17">
        <v>1</v>
      </c>
      <c r="T158" s="17">
        <v>1</v>
      </c>
      <c r="U158" s="17">
        <v>1</v>
      </c>
      <c r="V158" s="193"/>
      <c r="W158" s="193"/>
      <c r="X158" s="17">
        <v>1</v>
      </c>
      <c r="Y158" s="193"/>
      <c r="Z158" s="193"/>
      <c r="AA158" s="193"/>
      <c r="AB158" s="193"/>
      <c r="AC158" s="193"/>
      <c r="AD158" s="193"/>
      <c r="AE158" s="17"/>
      <c r="AF158" s="18"/>
      <c r="AG158" s="49">
        <f>SUM(B158:AF158)</f>
        <v>16</v>
      </c>
    </row>
    <row r="159" spans="1:33" ht="27" customHeight="1" thickBot="1" x14ac:dyDescent="0.35">
      <c r="A159" s="24" t="s">
        <v>228</v>
      </c>
      <c r="B159" s="186"/>
      <c r="C159" s="17"/>
      <c r="D159" s="17"/>
      <c r="E159" s="17"/>
      <c r="F159" s="17"/>
      <c r="G159" s="17"/>
      <c r="H159" s="17"/>
      <c r="I159" s="193"/>
      <c r="J159" s="17"/>
      <c r="K159" s="17"/>
      <c r="L159" s="17"/>
      <c r="M159" s="17"/>
      <c r="N159" s="17"/>
      <c r="O159" s="17"/>
      <c r="P159" s="193"/>
      <c r="Q159" s="17"/>
      <c r="R159" s="17"/>
      <c r="S159" s="17"/>
      <c r="T159" s="17"/>
      <c r="U159" s="17"/>
      <c r="V159" s="193"/>
      <c r="W159" s="193"/>
      <c r="X159" s="17"/>
      <c r="Y159" s="193"/>
      <c r="Z159" s="193"/>
      <c r="AA159" s="193"/>
      <c r="AB159" s="193"/>
      <c r="AC159" s="193"/>
      <c r="AD159" s="193"/>
      <c r="AE159" s="17"/>
      <c r="AF159" s="18"/>
      <c r="AG159" s="49">
        <f>SUM(B159:AF159)</f>
        <v>0</v>
      </c>
    </row>
    <row r="160" spans="1:33" ht="27" customHeight="1" thickBot="1" x14ac:dyDescent="0.35">
      <c r="A160" s="46" t="s">
        <v>10</v>
      </c>
      <c r="B160" s="70">
        <f>SUM(B155:B159)</f>
        <v>0</v>
      </c>
      <c r="C160" s="70">
        <f t="shared" ref="C160:AF160" si="21">SUM(C155:C159)</f>
        <v>3</v>
      </c>
      <c r="D160" s="70">
        <f t="shared" si="21"/>
        <v>3</v>
      </c>
      <c r="E160" s="70">
        <f t="shared" si="21"/>
        <v>3</v>
      </c>
      <c r="F160" s="70">
        <f t="shared" si="21"/>
        <v>3</v>
      </c>
      <c r="G160" s="70">
        <f t="shared" si="21"/>
        <v>3</v>
      </c>
      <c r="H160" s="70">
        <f t="shared" si="21"/>
        <v>0</v>
      </c>
      <c r="I160" s="70">
        <f t="shared" si="21"/>
        <v>0</v>
      </c>
      <c r="J160" s="70">
        <f t="shared" si="21"/>
        <v>3</v>
      </c>
      <c r="K160" s="70">
        <f t="shared" si="21"/>
        <v>3</v>
      </c>
      <c r="L160" s="70">
        <f t="shared" si="21"/>
        <v>3</v>
      </c>
      <c r="M160" s="70">
        <f t="shared" si="21"/>
        <v>3</v>
      </c>
      <c r="N160" s="70">
        <f t="shared" si="21"/>
        <v>3</v>
      </c>
      <c r="O160" s="70">
        <f t="shared" si="21"/>
        <v>0</v>
      </c>
      <c r="P160" s="70">
        <f t="shared" si="21"/>
        <v>0</v>
      </c>
      <c r="Q160" s="70">
        <f t="shared" si="21"/>
        <v>3</v>
      </c>
      <c r="R160" s="70">
        <f t="shared" si="21"/>
        <v>3</v>
      </c>
      <c r="S160" s="70">
        <f t="shared" si="21"/>
        <v>3</v>
      </c>
      <c r="T160" s="70">
        <f t="shared" si="21"/>
        <v>3</v>
      </c>
      <c r="U160" s="70">
        <f t="shared" si="21"/>
        <v>3</v>
      </c>
      <c r="V160" s="70">
        <f t="shared" si="21"/>
        <v>0</v>
      </c>
      <c r="W160" s="70">
        <f t="shared" si="21"/>
        <v>0</v>
      </c>
      <c r="X160" s="70">
        <f t="shared" si="21"/>
        <v>3</v>
      </c>
      <c r="Y160" s="70">
        <f t="shared" si="21"/>
        <v>0</v>
      </c>
      <c r="Z160" s="70">
        <f t="shared" si="21"/>
        <v>0</v>
      </c>
      <c r="AA160" s="70">
        <f t="shared" si="21"/>
        <v>0</v>
      </c>
      <c r="AB160" s="70">
        <f t="shared" si="21"/>
        <v>0</v>
      </c>
      <c r="AC160" s="70">
        <f t="shared" si="21"/>
        <v>0</v>
      </c>
      <c r="AD160" s="70">
        <f t="shared" si="21"/>
        <v>0</v>
      </c>
      <c r="AE160" s="70">
        <f t="shared" si="21"/>
        <v>2</v>
      </c>
      <c r="AF160" s="70">
        <f t="shared" si="21"/>
        <v>2</v>
      </c>
      <c r="AG160" s="44">
        <f>SUM(AG155:AG159)</f>
        <v>52</v>
      </c>
    </row>
    <row r="161" spans="1:33" ht="18.95" customHeight="1" thickBot="1" x14ac:dyDescent="0.35">
      <c r="A161" s="283" t="s">
        <v>357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84"/>
      <c r="AB161" s="284"/>
      <c r="AC161" s="284"/>
      <c r="AD161" s="284"/>
      <c r="AE161" s="284"/>
      <c r="AF161" s="284"/>
      <c r="AG161" s="285"/>
    </row>
    <row r="162" spans="1:33" ht="27" customHeight="1" thickBot="1" x14ac:dyDescent="0.35">
      <c r="A162" s="60" t="s">
        <v>229</v>
      </c>
      <c r="B162" s="187"/>
      <c r="C162" s="5"/>
      <c r="D162" s="5"/>
      <c r="E162" s="5"/>
      <c r="F162" s="5"/>
      <c r="G162" s="5"/>
      <c r="H162" s="5"/>
      <c r="I162" s="189"/>
      <c r="J162" s="5"/>
      <c r="K162" s="5"/>
      <c r="L162" s="5"/>
      <c r="M162" s="5"/>
      <c r="N162" s="5"/>
      <c r="O162" s="5"/>
      <c r="P162" s="189"/>
      <c r="Q162" s="5"/>
      <c r="R162" s="5"/>
      <c r="S162" s="5"/>
      <c r="T162" s="5"/>
      <c r="U162" s="5"/>
      <c r="V162" s="189"/>
      <c r="W162" s="189"/>
      <c r="X162" s="5"/>
      <c r="Y162" s="189"/>
      <c r="Z162" s="189"/>
      <c r="AA162" s="189"/>
      <c r="AB162" s="189"/>
      <c r="AC162" s="189"/>
      <c r="AD162" s="189"/>
      <c r="AE162" s="5"/>
      <c r="AF162" s="6"/>
      <c r="AG162" s="49">
        <f>SUM(B162:AF162)</f>
        <v>0</v>
      </c>
    </row>
    <row r="163" spans="1:33" ht="27" customHeight="1" thickBot="1" x14ac:dyDescent="0.35">
      <c r="A163" s="60" t="s">
        <v>230</v>
      </c>
      <c r="B163" s="187"/>
      <c r="C163" s="5">
        <v>1</v>
      </c>
      <c r="D163" s="5">
        <v>1</v>
      </c>
      <c r="E163" s="5">
        <v>1</v>
      </c>
      <c r="F163" s="5">
        <v>1</v>
      </c>
      <c r="G163" s="5">
        <v>1</v>
      </c>
      <c r="H163" s="5">
        <v>1</v>
      </c>
      <c r="I163" s="189"/>
      <c r="J163" s="5">
        <v>1</v>
      </c>
      <c r="K163" s="5">
        <v>1</v>
      </c>
      <c r="L163" s="5">
        <v>1</v>
      </c>
      <c r="M163" s="5">
        <v>1</v>
      </c>
      <c r="N163" s="5">
        <v>1</v>
      </c>
      <c r="O163" s="5">
        <v>1</v>
      </c>
      <c r="P163" s="189"/>
      <c r="Q163" s="5">
        <v>1</v>
      </c>
      <c r="R163" s="5">
        <v>1</v>
      </c>
      <c r="S163" s="5">
        <v>1</v>
      </c>
      <c r="T163" s="5">
        <v>1</v>
      </c>
      <c r="U163" s="5">
        <v>1</v>
      </c>
      <c r="V163" s="189"/>
      <c r="W163" s="189"/>
      <c r="X163" s="5">
        <v>1</v>
      </c>
      <c r="Y163" s="189"/>
      <c r="Z163" s="189"/>
      <c r="AA163" s="189"/>
      <c r="AB163" s="189"/>
      <c r="AC163" s="189"/>
      <c r="AD163" s="189"/>
      <c r="AE163" s="5">
        <v>1</v>
      </c>
      <c r="AF163" s="6">
        <v>1</v>
      </c>
      <c r="AG163" s="49">
        <f>SUM(B163:AF163)</f>
        <v>20</v>
      </c>
    </row>
    <row r="164" spans="1:33" ht="27" customHeight="1" thickBot="1" x14ac:dyDescent="0.35">
      <c r="A164" s="60" t="s">
        <v>231</v>
      </c>
      <c r="B164" s="187"/>
      <c r="C164" s="5"/>
      <c r="D164" s="5"/>
      <c r="E164" s="5"/>
      <c r="F164" s="5"/>
      <c r="G164" s="5"/>
      <c r="H164" s="5"/>
      <c r="I164" s="189"/>
      <c r="J164" s="5">
        <v>1</v>
      </c>
      <c r="K164" s="5">
        <v>1</v>
      </c>
      <c r="L164" s="5">
        <v>1</v>
      </c>
      <c r="M164" s="5">
        <v>1</v>
      </c>
      <c r="N164" s="5">
        <v>1</v>
      </c>
      <c r="O164" s="5"/>
      <c r="P164" s="189"/>
      <c r="Q164" s="5">
        <v>1</v>
      </c>
      <c r="R164" s="5">
        <v>1</v>
      </c>
      <c r="S164" s="5">
        <v>1</v>
      </c>
      <c r="T164" s="5">
        <v>1</v>
      </c>
      <c r="U164" s="5">
        <v>1</v>
      </c>
      <c r="V164" s="189"/>
      <c r="W164" s="189"/>
      <c r="X164" s="5">
        <v>1</v>
      </c>
      <c r="Y164" s="189"/>
      <c r="Z164" s="189"/>
      <c r="AA164" s="189"/>
      <c r="AB164" s="189"/>
      <c r="AC164" s="189"/>
      <c r="AD164" s="189"/>
      <c r="AE164" s="5"/>
      <c r="AF164" s="6"/>
      <c r="AG164" s="49">
        <f>SUM(B164:AF164)</f>
        <v>11</v>
      </c>
    </row>
    <row r="165" spans="1:33" ht="27" customHeight="1" thickBot="1" x14ac:dyDescent="0.35">
      <c r="A165" s="46" t="s">
        <v>10</v>
      </c>
      <c r="B165" s="70">
        <f>SUM(B162:B164)</f>
        <v>0</v>
      </c>
      <c r="C165" s="70">
        <f t="shared" ref="C165:AF165" si="22">SUM(C162:C164)</f>
        <v>1</v>
      </c>
      <c r="D165" s="70">
        <f t="shared" si="22"/>
        <v>1</v>
      </c>
      <c r="E165" s="70">
        <f t="shared" si="22"/>
        <v>1</v>
      </c>
      <c r="F165" s="70">
        <f t="shared" si="22"/>
        <v>1</v>
      </c>
      <c r="G165" s="70">
        <f t="shared" si="22"/>
        <v>1</v>
      </c>
      <c r="H165" s="70">
        <f t="shared" si="22"/>
        <v>1</v>
      </c>
      <c r="I165" s="70">
        <f t="shared" si="22"/>
        <v>0</v>
      </c>
      <c r="J165" s="70">
        <f t="shared" si="22"/>
        <v>2</v>
      </c>
      <c r="K165" s="70">
        <f t="shared" si="22"/>
        <v>2</v>
      </c>
      <c r="L165" s="70">
        <f t="shared" si="22"/>
        <v>2</v>
      </c>
      <c r="M165" s="70">
        <f t="shared" si="22"/>
        <v>2</v>
      </c>
      <c r="N165" s="70">
        <f t="shared" si="22"/>
        <v>2</v>
      </c>
      <c r="O165" s="70">
        <f t="shared" si="22"/>
        <v>1</v>
      </c>
      <c r="P165" s="70">
        <f t="shared" si="22"/>
        <v>0</v>
      </c>
      <c r="Q165" s="70">
        <f t="shared" si="22"/>
        <v>2</v>
      </c>
      <c r="R165" s="70">
        <f t="shared" si="22"/>
        <v>2</v>
      </c>
      <c r="S165" s="70">
        <f t="shared" si="22"/>
        <v>2</v>
      </c>
      <c r="T165" s="70">
        <f t="shared" si="22"/>
        <v>2</v>
      </c>
      <c r="U165" s="70">
        <f t="shared" si="22"/>
        <v>2</v>
      </c>
      <c r="V165" s="70">
        <f t="shared" si="22"/>
        <v>0</v>
      </c>
      <c r="W165" s="70">
        <f t="shared" si="22"/>
        <v>0</v>
      </c>
      <c r="X165" s="70">
        <f t="shared" si="22"/>
        <v>2</v>
      </c>
      <c r="Y165" s="70">
        <f t="shared" si="22"/>
        <v>0</v>
      </c>
      <c r="Z165" s="70">
        <f t="shared" si="22"/>
        <v>0</v>
      </c>
      <c r="AA165" s="70">
        <f t="shared" si="22"/>
        <v>0</v>
      </c>
      <c r="AB165" s="70">
        <f t="shared" si="22"/>
        <v>0</v>
      </c>
      <c r="AC165" s="70">
        <f t="shared" si="22"/>
        <v>0</v>
      </c>
      <c r="AD165" s="70">
        <f t="shared" si="22"/>
        <v>0</v>
      </c>
      <c r="AE165" s="70">
        <f t="shared" si="22"/>
        <v>1</v>
      </c>
      <c r="AF165" s="70">
        <f t="shared" si="22"/>
        <v>1</v>
      </c>
      <c r="AG165" s="44">
        <f>SUM(AG162:AG164)</f>
        <v>31</v>
      </c>
    </row>
    <row r="166" spans="1:33" ht="18.95" customHeight="1" thickBot="1" x14ac:dyDescent="0.35">
      <c r="A166" s="283" t="s">
        <v>358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84"/>
      <c r="AB166" s="284"/>
      <c r="AC166" s="284"/>
      <c r="AD166" s="284"/>
      <c r="AE166" s="284"/>
      <c r="AF166" s="284"/>
      <c r="AG166" s="285"/>
    </row>
    <row r="167" spans="1:33" ht="27" customHeight="1" thickBot="1" x14ac:dyDescent="0.35">
      <c r="A167" s="60" t="s">
        <v>232</v>
      </c>
      <c r="B167" s="187">
        <v>1</v>
      </c>
      <c r="C167" s="5">
        <v>1</v>
      </c>
      <c r="D167" s="5">
        <v>1</v>
      </c>
      <c r="E167" s="5">
        <v>1</v>
      </c>
      <c r="F167" s="5">
        <v>1</v>
      </c>
      <c r="G167" s="5">
        <v>1</v>
      </c>
      <c r="H167" s="5">
        <v>1</v>
      </c>
      <c r="I167" s="189">
        <v>1</v>
      </c>
      <c r="J167" s="5">
        <v>1</v>
      </c>
      <c r="K167" s="5">
        <v>1</v>
      </c>
      <c r="L167" s="5">
        <v>1</v>
      </c>
      <c r="M167" s="5">
        <v>1</v>
      </c>
      <c r="N167" s="5">
        <v>1</v>
      </c>
      <c r="O167" s="5">
        <v>1</v>
      </c>
      <c r="P167" s="189">
        <v>1</v>
      </c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189">
        <v>1</v>
      </c>
      <c r="W167" s="189">
        <v>1</v>
      </c>
      <c r="X167" s="5">
        <v>1</v>
      </c>
      <c r="Y167" s="189">
        <v>1</v>
      </c>
      <c r="Z167" s="189">
        <v>1</v>
      </c>
      <c r="AA167" s="189">
        <v>1</v>
      </c>
      <c r="AB167" s="189">
        <v>1</v>
      </c>
      <c r="AC167" s="189">
        <v>1</v>
      </c>
      <c r="AD167" s="189">
        <v>1</v>
      </c>
      <c r="AE167" s="5">
        <v>1</v>
      </c>
      <c r="AF167" s="6">
        <v>1</v>
      </c>
      <c r="AG167" s="49">
        <f>SUM(B167:AF167)</f>
        <v>31</v>
      </c>
    </row>
    <row r="168" spans="1:33" ht="27" customHeight="1" thickBot="1" x14ac:dyDescent="0.35">
      <c r="A168" s="60" t="s">
        <v>233</v>
      </c>
      <c r="B168" s="187"/>
      <c r="C168" s="5"/>
      <c r="D168" s="5"/>
      <c r="E168" s="5"/>
      <c r="F168" s="5"/>
      <c r="G168" s="5"/>
      <c r="H168" s="5"/>
      <c r="I168" s="189"/>
      <c r="J168" s="5"/>
      <c r="K168" s="5"/>
      <c r="L168" s="5"/>
      <c r="M168" s="5"/>
      <c r="N168" s="5"/>
      <c r="O168" s="5"/>
      <c r="P168" s="189"/>
      <c r="Q168" s="5"/>
      <c r="R168" s="5"/>
      <c r="S168" s="5"/>
      <c r="T168" s="5"/>
      <c r="U168" s="5"/>
      <c r="V168" s="189"/>
      <c r="W168" s="189"/>
      <c r="X168" s="5"/>
      <c r="Y168" s="189"/>
      <c r="Z168" s="189"/>
      <c r="AA168" s="189"/>
      <c r="AB168" s="189"/>
      <c r="AC168" s="189"/>
      <c r="AD168" s="189"/>
      <c r="AE168" s="5"/>
      <c r="AF168" s="6"/>
      <c r="AG168" s="49">
        <f t="shared" ref="AG168:AG181" si="23">SUM(B168:AF168)</f>
        <v>0</v>
      </c>
    </row>
    <row r="169" spans="1:33" ht="27" customHeight="1" thickBot="1" x14ac:dyDescent="0.35">
      <c r="A169" s="60" t="s">
        <v>440</v>
      </c>
      <c r="B169" s="187"/>
      <c r="C169" s="5">
        <v>1</v>
      </c>
      <c r="D169" s="5">
        <v>1</v>
      </c>
      <c r="E169" s="5">
        <v>1</v>
      </c>
      <c r="F169" s="5">
        <v>1</v>
      </c>
      <c r="G169" s="5">
        <v>1</v>
      </c>
      <c r="H169" s="5">
        <v>1</v>
      </c>
      <c r="I169" s="189"/>
      <c r="J169" s="5">
        <v>1</v>
      </c>
      <c r="K169" s="5">
        <v>1</v>
      </c>
      <c r="L169" s="5">
        <v>1</v>
      </c>
      <c r="M169" s="5">
        <v>1</v>
      </c>
      <c r="N169" s="5">
        <v>1</v>
      </c>
      <c r="O169" s="5"/>
      <c r="P169" s="189"/>
      <c r="Q169" s="5"/>
      <c r="R169" s="5"/>
      <c r="S169" s="5"/>
      <c r="T169" s="5"/>
      <c r="U169" s="5"/>
      <c r="V169" s="189"/>
      <c r="W169" s="189"/>
      <c r="X169" s="5"/>
      <c r="Y169" s="189"/>
      <c r="Z169" s="189"/>
      <c r="AA169" s="189"/>
      <c r="AB169" s="189"/>
      <c r="AC169" s="189"/>
      <c r="AD169" s="189"/>
      <c r="AE169" s="5"/>
      <c r="AF169" s="6"/>
      <c r="AG169" s="49">
        <f t="shared" si="23"/>
        <v>11</v>
      </c>
    </row>
    <row r="170" spans="1:33" ht="27" customHeight="1" thickBot="1" x14ac:dyDescent="0.35">
      <c r="A170" s="60" t="s">
        <v>235</v>
      </c>
      <c r="B170" s="187">
        <v>1</v>
      </c>
      <c r="C170" s="5">
        <v>1</v>
      </c>
      <c r="D170" s="5">
        <v>1</v>
      </c>
      <c r="E170" s="5">
        <v>1</v>
      </c>
      <c r="F170" s="5">
        <v>1</v>
      </c>
      <c r="G170" s="5">
        <v>1</v>
      </c>
      <c r="H170" s="5">
        <v>1</v>
      </c>
      <c r="I170" s="189">
        <v>1</v>
      </c>
      <c r="J170" s="5">
        <v>1</v>
      </c>
      <c r="K170" s="5">
        <v>1</v>
      </c>
      <c r="L170" s="5">
        <v>1</v>
      </c>
      <c r="M170" s="5">
        <v>1</v>
      </c>
      <c r="N170" s="5">
        <v>1</v>
      </c>
      <c r="O170" s="5">
        <v>1</v>
      </c>
      <c r="P170" s="189">
        <v>1</v>
      </c>
      <c r="Q170" s="5">
        <v>1</v>
      </c>
      <c r="R170" s="5">
        <v>1</v>
      </c>
      <c r="S170" s="5">
        <v>1</v>
      </c>
      <c r="T170" s="5">
        <v>1</v>
      </c>
      <c r="U170" s="5">
        <v>1</v>
      </c>
      <c r="V170" s="189">
        <v>1</v>
      </c>
      <c r="W170" s="189">
        <v>1</v>
      </c>
      <c r="X170" s="5">
        <v>1</v>
      </c>
      <c r="Y170" s="189">
        <v>1</v>
      </c>
      <c r="Z170" s="189">
        <v>1</v>
      </c>
      <c r="AA170" s="189">
        <v>1</v>
      </c>
      <c r="AB170" s="189">
        <v>1</v>
      </c>
      <c r="AC170" s="189">
        <v>1</v>
      </c>
      <c r="AD170" s="189">
        <v>1</v>
      </c>
      <c r="AE170" s="5">
        <v>1</v>
      </c>
      <c r="AF170" s="6">
        <v>1</v>
      </c>
      <c r="AG170" s="49">
        <f t="shared" si="23"/>
        <v>31</v>
      </c>
    </row>
    <row r="171" spans="1:33" ht="27" customHeight="1" thickBot="1" x14ac:dyDescent="0.35">
      <c r="A171" s="60" t="s">
        <v>446</v>
      </c>
      <c r="B171" s="187"/>
      <c r="C171" s="5">
        <v>1</v>
      </c>
      <c r="D171" s="5"/>
      <c r="E171" s="5">
        <v>1</v>
      </c>
      <c r="F171" s="5">
        <v>1</v>
      </c>
      <c r="G171" s="5">
        <v>1</v>
      </c>
      <c r="H171" s="5"/>
      <c r="I171" s="189"/>
      <c r="J171" s="5"/>
      <c r="K171" s="5"/>
      <c r="L171" s="5"/>
      <c r="M171" s="5">
        <v>1</v>
      </c>
      <c r="N171" s="5">
        <v>1</v>
      </c>
      <c r="O171" s="5">
        <v>1</v>
      </c>
      <c r="P171" s="189"/>
      <c r="Q171" s="5"/>
      <c r="R171" s="5">
        <v>1</v>
      </c>
      <c r="S171" s="5"/>
      <c r="T171" s="5"/>
      <c r="U171" s="5"/>
      <c r="V171" s="189"/>
      <c r="W171" s="189"/>
      <c r="X171" s="5"/>
      <c r="Y171" s="189"/>
      <c r="Z171" s="189"/>
      <c r="AA171" s="189"/>
      <c r="AB171" s="189"/>
      <c r="AC171" s="189"/>
      <c r="AD171" s="189"/>
      <c r="AE171" s="5"/>
      <c r="AF171" s="6"/>
      <c r="AG171" s="49">
        <f t="shared" si="23"/>
        <v>8</v>
      </c>
    </row>
    <row r="172" spans="1:33" ht="27" customHeight="1" thickBot="1" x14ac:dyDescent="0.35">
      <c r="A172" s="60" t="s">
        <v>236</v>
      </c>
      <c r="B172" s="187"/>
      <c r="C172" s="5"/>
      <c r="D172" s="5"/>
      <c r="E172" s="5"/>
      <c r="F172" s="5"/>
      <c r="G172" s="5"/>
      <c r="H172" s="5"/>
      <c r="I172" s="189"/>
      <c r="J172" s="5"/>
      <c r="K172" s="5"/>
      <c r="L172" s="5"/>
      <c r="M172" s="5"/>
      <c r="N172" s="5"/>
      <c r="O172" s="5"/>
      <c r="P172" s="189"/>
      <c r="Q172" s="5"/>
      <c r="R172" s="5"/>
      <c r="S172" s="5"/>
      <c r="T172" s="5"/>
      <c r="U172" s="5"/>
      <c r="V172" s="189"/>
      <c r="W172" s="189"/>
      <c r="X172" s="5"/>
      <c r="Y172" s="189"/>
      <c r="Z172" s="189"/>
      <c r="AA172" s="189"/>
      <c r="AB172" s="189"/>
      <c r="AC172" s="189"/>
      <c r="AD172" s="189"/>
      <c r="AE172" s="5"/>
      <c r="AF172" s="6"/>
      <c r="AG172" s="49">
        <f t="shared" si="23"/>
        <v>0</v>
      </c>
    </row>
    <row r="173" spans="1:33" ht="27" customHeight="1" thickBot="1" x14ac:dyDescent="0.35">
      <c r="A173" s="60" t="s">
        <v>237</v>
      </c>
      <c r="B173" s="187"/>
      <c r="C173" s="5"/>
      <c r="D173" s="5"/>
      <c r="E173" s="5"/>
      <c r="F173" s="5"/>
      <c r="G173" s="5"/>
      <c r="H173" s="5"/>
      <c r="I173" s="189"/>
      <c r="J173" s="5"/>
      <c r="K173" s="5"/>
      <c r="L173" s="5"/>
      <c r="M173" s="5"/>
      <c r="N173" s="5"/>
      <c r="O173" s="5"/>
      <c r="P173" s="189"/>
      <c r="Q173" s="5"/>
      <c r="R173" s="5"/>
      <c r="S173" s="5"/>
      <c r="T173" s="5"/>
      <c r="U173" s="5"/>
      <c r="V173" s="189"/>
      <c r="W173" s="189"/>
      <c r="X173" s="5"/>
      <c r="Y173" s="189"/>
      <c r="Z173" s="189"/>
      <c r="AA173" s="189"/>
      <c r="AB173" s="189"/>
      <c r="AC173" s="189"/>
      <c r="AD173" s="189"/>
      <c r="AE173" s="5"/>
      <c r="AF173" s="6"/>
      <c r="AG173" s="49">
        <f t="shared" si="23"/>
        <v>0</v>
      </c>
    </row>
    <row r="174" spans="1:33" ht="27" customHeight="1" thickBot="1" x14ac:dyDescent="0.35">
      <c r="A174" s="60" t="s">
        <v>238</v>
      </c>
      <c r="B174" s="187"/>
      <c r="C174" s="5"/>
      <c r="D174" s="5"/>
      <c r="E174" s="5"/>
      <c r="F174" s="5"/>
      <c r="G174" s="5"/>
      <c r="H174" s="5"/>
      <c r="I174" s="189"/>
      <c r="J174" s="5"/>
      <c r="K174" s="5"/>
      <c r="L174" s="5"/>
      <c r="M174" s="5"/>
      <c r="N174" s="5"/>
      <c r="O174" s="5"/>
      <c r="P174" s="189"/>
      <c r="Q174" s="5"/>
      <c r="R174" s="5"/>
      <c r="S174" s="5"/>
      <c r="T174" s="5"/>
      <c r="U174" s="5"/>
      <c r="V174" s="189"/>
      <c r="W174" s="189"/>
      <c r="X174" s="5"/>
      <c r="Y174" s="189"/>
      <c r="Z174" s="189"/>
      <c r="AA174" s="189"/>
      <c r="AB174" s="189"/>
      <c r="AC174" s="189"/>
      <c r="AD174" s="189"/>
      <c r="AE174" s="5"/>
      <c r="AF174" s="6"/>
      <c r="AG174" s="49">
        <f t="shared" si="23"/>
        <v>0</v>
      </c>
    </row>
    <row r="175" spans="1:33" ht="27" customHeight="1" thickBot="1" x14ac:dyDescent="0.35">
      <c r="A175" s="60" t="s">
        <v>239</v>
      </c>
      <c r="B175" s="187"/>
      <c r="C175" s="5"/>
      <c r="D175" s="5"/>
      <c r="E175" s="5"/>
      <c r="F175" s="5"/>
      <c r="G175" s="5"/>
      <c r="H175" s="5"/>
      <c r="I175" s="189"/>
      <c r="J175" s="5"/>
      <c r="K175" s="5"/>
      <c r="L175" s="5"/>
      <c r="M175" s="5"/>
      <c r="N175" s="5"/>
      <c r="O175" s="5"/>
      <c r="P175" s="189"/>
      <c r="Q175" s="5"/>
      <c r="R175" s="5"/>
      <c r="S175" s="5"/>
      <c r="T175" s="5"/>
      <c r="U175" s="5"/>
      <c r="V175" s="189"/>
      <c r="W175" s="189"/>
      <c r="X175" s="5"/>
      <c r="Y175" s="189"/>
      <c r="Z175" s="189"/>
      <c r="AA175" s="189"/>
      <c r="AB175" s="189"/>
      <c r="AC175" s="189"/>
      <c r="AD175" s="189"/>
      <c r="AE175" s="5"/>
      <c r="AF175" s="6"/>
      <c r="AG175" s="49">
        <f t="shared" si="23"/>
        <v>0</v>
      </c>
    </row>
    <row r="176" spans="1:33" ht="27" customHeight="1" thickBot="1" x14ac:dyDescent="0.35">
      <c r="A176" s="60" t="s">
        <v>240</v>
      </c>
      <c r="B176" s="187"/>
      <c r="C176" s="5">
        <v>1</v>
      </c>
      <c r="D176" s="5">
        <v>1</v>
      </c>
      <c r="E176" s="5">
        <v>1</v>
      </c>
      <c r="F176" s="5">
        <v>1</v>
      </c>
      <c r="G176" s="5">
        <v>1</v>
      </c>
      <c r="H176" s="5">
        <v>1</v>
      </c>
      <c r="I176" s="189"/>
      <c r="J176" s="5">
        <v>1</v>
      </c>
      <c r="K176" s="5">
        <v>1</v>
      </c>
      <c r="L176" s="5">
        <v>1</v>
      </c>
      <c r="M176" s="5">
        <v>1</v>
      </c>
      <c r="N176" s="5">
        <v>1</v>
      </c>
      <c r="O176" s="5"/>
      <c r="P176" s="189"/>
      <c r="Q176" s="5">
        <v>1</v>
      </c>
      <c r="R176" s="5">
        <v>1</v>
      </c>
      <c r="S176" s="5">
        <v>1</v>
      </c>
      <c r="T176" s="5">
        <v>1</v>
      </c>
      <c r="U176" s="5">
        <v>1</v>
      </c>
      <c r="V176" s="189"/>
      <c r="W176" s="189"/>
      <c r="X176" s="5"/>
      <c r="Y176" s="189"/>
      <c r="Z176" s="189"/>
      <c r="AA176" s="189"/>
      <c r="AB176" s="189"/>
      <c r="AC176" s="189"/>
      <c r="AD176" s="189"/>
      <c r="AE176" s="5"/>
      <c r="AF176" s="6"/>
      <c r="AG176" s="49">
        <f t="shared" si="23"/>
        <v>16</v>
      </c>
    </row>
    <row r="177" spans="1:33" ht="27" customHeight="1" thickBot="1" x14ac:dyDescent="0.35">
      <c r="A177" s="61" t="s">
        <v>241</v>
      </c>
      <c r="B177" s="188"/>
      <c r="C177" s="11">
        <v>1</v>
      </c>
      <c r="D177" s="11">
        <v>1</v>
      </c>
      <c r="E177" s="11">
        <v>1</v>
      </c>
      <c r="F177" s="11">
        <v>1</v>
      </c>
      <c r="G177" s="11">
        <v>1</v>
      </c>
      <c r="H177" s="11">
        <v>1</v>
      </c>
      <c r="I177" s="194"/>
      <c r="J177" s="11">
        <v>1</v>
      </c>
      <c r="K177" s="11">
        <v>1</v>
      </c>
      <c r="L177" s="11">
        <v>1</v>
      </c>
      <c r="M177" s="11">
        <v>1</v>
      </c>
      <c r="N177" s="11">
        <v>1</v>
      </c>
      <c r="O177" s="11">
        <v>1</v>
      </c>
      <c r="P177" s="194"/>
      <c r="Q177" s="11">
        <v>1</v>
      </c>
      <c r="R177" s="11">
        <v>1</v>
      </c>
      <c r="S177" s="11">
        <v>1</v>
      </c>
      <c r="T177" s="11">
        <v>1</v>
      </c>
      <c r="U177" s="11">
        <v>1</v>
      </c>
      <c r="V177" s="194"/>
      <c r="W177" s="194"/>
      <c r="X177" s="11">
        <v>1</v>
      </c>
      <c r="Y177" s="194"/>
      <c r="Z177" s="194"/>
      <c r="AA177" s="194"/>
      <c r="AB177" s="194"/>
      <c r="AC177" s="194"/>
      <c r="AD177" s="194"/>
      <c r="AE177" s="11">
        <v>1</v>
      </c>
      <c r="AF177" s="12">
        <v>1</v>
      </c>
      <c r="AG177" s="49">
        <f t="shared" si="23"/>
        <v>20</v>
      </c>
    </row>
    <row r="178" spans="1:33" ht="27" customHeight="1" thickBot="1" x14ac:dyDescent="0.35">
      <c r="A178" s="61" t="s">
        <v>242</v>
      </c>
      <c r="B178" s="188"/>
      <c r="C178" s="11"/>
      <c r="D178" s="11"/>
      <c r="E178" s="11"/>
      <c r="F178" s="11"/>
      <c r="G178" s="11"/>
      <c r="H178" s="11"/>
      <c r="I178" s="194"/>
      <c r="J178" s="11"/>
      <c r="K178" s="11"/>
      <c r="L178" s="11"/>
      <c r="M178" s="11"/>
      <c r="N178" s="11"/>
      <c r="O178" s="11"/>
      <c r="P178" s="194"/>
      <c r="Q178" s="11"/>
      <c r="R178" s="11"/>
      <c r="S178" s="11"/>
      <c r="T178" s="11"/>
      <c r="U178" s="11"/>
      <c r="V178" s="194"/>
      <c r="W178" s="194"/>
      <c r="X178" s="11"/>
      <c r="Y178" s="194"/>
      <c r="Z178" s="194"/>
      <c r="AA178" s="194"/>
      <c r="AB178" s="194"/>
      <c r="AC178" s="194"/>
      <c r="AD178" s="194"/>
      <c r="AE178" s="11"/>
      <c r="AF178" s="12"/>
      <c r="AG178" s="49">
        <f t="shared" si="23"/>
        <v>0</v>
      </c>
    </row>
    <row r="179" spans="1:33" ht="27" customHeight="1" thickBot="1" x14ac:dyDescent="0.35">
      <c r="A179" s="61" t="s">
        <v>243</v>
      </c>
      <c r="B179" s="188"/>
      <c r="C179" s="11"/>
      <c r="D179" s="11"/>
      <c r="E179" s="11"/>
      <c r="F179" s="11"/>
      <c r="G179" s="11"/>
      <c r="H179" s="11"/>
      <c r="I179" s="194"/>
      <c r="J179" s="11"/>
      <c r="K179" s="11"/>
      <c r="L179" s="11"/>
      <c r="M179" s="11"/>
      <c r="N179" s="11"/>
      <c r="O179" s="11"/>
      <c r="P179" s="194"/>
      <c r="Q179" s="11"/>
      <c r="R179" s="11"/>
      <c r="S179" s="11"/>
      <c r="T179" s="11"/>
      <c r="U179" s="11"/>
      <c r="V179" s="194"/>
      <c r="W179" s="194"/>
      <c r="X179" s="11"/>
      <c r="Y179" s="194"/>
      <c r="Z179" s="194"/>
      <c r="AA179" s="194"/>
      <c r="AB179" s="194"/>
      <c r="AC179" s="194"/>
      <c r="AD179" s="194"/>
      <c r="AE179" s="11"/>
      <c r="AF179" s="12"/>
      <c r="AG179" s="49">
        <f t="shared" si="23"/>
        <v>0</v>
      </c>
    </row>
    <row r="180" spans="1:33" ht="27" customHeight="1" thickBot="1" x14ac:dyDescent="0.35">
      <c r="A180" s="61" t="s">
        <v>244</v>
      </c>
      <c r="B180" s="188"/>
      <c r="C180" s="11"/>
      <c r="D180" s="11"/>
      <c r="E180" s="11"/>
      <c r="F180" s="11"/>
      <c r="G180" s="11"/>
      <c r="H180" s="11"/>
      <c r="I180" s="194"/>
      <c r="J180" s="11"/>
      <c r="K180" s="11"/>
      <c r="L180" s="11"/>
      <c r="M180" s="11"/>
      <c r="N180" s="11"/>
      <c r="O180" s="11"/>
      <c r="P180" s="194"/>
      <c r="Q180" s="11"/>
      <c r="R180" s="11"/>
      <c r="S180" s="11"/>
      <c r="T180" s="11"/>
      <c r="U180" s="11"/>
      <c r="V180" s="194"/>
      <c r="W180" s="194"/>
      <c r="X180" s="11"/>
      <c r="Y180" s="194"/>
      <c r="Z180" s="194"/>
      <c r="AA180" s="194"/>
      <c r="AB180" s="194"/>
      <c r="AC180" s="194"/>
      <c r="AD180" s="194"/>
      <c r="AE180" s="11"/>
      <c r="AF180" s="12"/>
      <c r="AG180" s="49">
        <f t="shared" si="23"/>
        <v>0</v>
      </c>
    </row>
    <row r="181" spans="1:33" ht="19.5" thickBot="1" x14ac:dyDescent="0.35">
      <c r="A181" s="61" t="s">
        <v>245</v>
      </c>
      <c r="B181" s="188"/>
      <c r="C181" s="11"/>
      <c r="D181" s="11"/>
      <c r="E181" s="11"/>
      <c r="F181" s="11"/>
      <c r="G181" s="11"/>
      <c r="H181" s="11"/>
      <c r="I181" s="194"/>
      <c r="J181" s="11"/>
      <c r="K181" s="11"/>
      <c r="L181" s="11"/>
      <c r="M181" s="11"/>
      <c r="N181" s="11"/>
      <c r="O181" s="11"/>
      <c r="P181" s="194"/>
      <c r="Q181" s="11"/>
      <c r="R181" s="11"/>
      <c r="S181" s="11"/>
      <c r="T181" s="11"/>
      <c r="U181" s="11"/>
      <c r="V181" s="194"/>
      <c r="W181" s="194"/>
      <c r="X181" s="11"/>
      <c r="Y181" s="194"/>
      <c r="Z181" s="194"/>
      <c r="AA181" s="194"/>
      <c r="AB181" s="194"/>
      <c r="AC181" s="194"/>
      <c r="AD181" s="194"/>
      <c r="AE181" s="11"/>
      <c r="AF181" s="12"/>
      <c r="AG181" s="49">
        <f t="shared" si="23"/>
        <v>0</v>
      </c>
    </row>
    <row r="182" spans="1:33" ht="27" customHeight="1" thickBot="1" x14ac:dyDescent="0.35">
      <c r="A182" s="46" t="s">
        <v>10</v>
      </c>
      <c r="B182" s="70">
        <f>SUM(B167:B181)</f>
        <v>2</v>
      </c>
      <c r="C182" s="70">
        <f t="shared" ref="C182:AF182" si="24">SUM(C167:C181)</f>
        <v>6</v>
      </c>
      <c r="D182" s="70">
        <f t="shared" si="24"/>
        <v>5</v>
      </c>
      <c r="E182" s="70">
        <f t="shared" si="24"/>
        <v>6</v>
      </c>
      <c r="F182" s="70">
        <f t="shared" si="24"/>
        <v>6</v>
      </c>
      <c r="G182" s="70">
        <f t="shared" si="24"/>
        <v>6</v>
      </c>
      <c r="H182" s="70">
        <f t="shared" si="24"/>
        <v>5</v>
      </c>
      <c r="I182" s="70">
        <f t="shared" si="24"/>
        <v>2</v>
      </c>
      <c r="J182" s="70">
        <f t="shared" si="24"/>
        <v>5</v>
      </c>
      <c r="K182" s="70">
        <f t="shared" si="24"/>
        <v>5</v>
      </c>
      <c r="L182" s="70">
        <f t="shared" si="24"/>
        <v>5</v>
      </c>
      <c r="M182" s="70">
        <f t="shared" si="24"/>
        <v>6</v>
      </c>
      <c r="N182" s="70">
        <f t="shared" si="24"/>
        <v>6</v>
      </c>
      <c r="O182" s="70">
        <f t="shared" si="24"/>
        <v>4</v>
      </c>
      <c r="P182" s="70">
        <f t="shared" si="24"/>
        <v>2</v>
      </c>
      <c r="Q182" s="70">
        <f t="shared" si="24"/>
        <v>4</v>
      </c>
      <c r="R182" s="70">
        <f t="shared" si="24"/>
        <v>5</v>
      </c>
      <c r="S182" s="70">
        <f t="shared" si="24"/>
        <v>4</v>
      </c>
      <c r="T182" s="70">
        <f t="shared" si="24"/>
        <v>4</v>
      </c>
      <c r="U182" s="70">
        <f t="shared" si="24"/>
        <v>4</v>
      </c>
      <c r="V182" s="70">
        <f t="shared" si="24"/>
        <v>2</v>
      </c>
      <c r="W182" s="70">
        <f t="shared" si="24"/>
        <v>2</v>
      </c>
      <c r="X182" s="70">
        <f t="shared" si="24"/>
        <v>3</v>
      </c>
      <c r="Y182" s="70">
        <f t="shared" si="24"/>
        <v>2</v>
      </c>
      <c r="Z182" s="70">
        <f t="shared" si="24"/>
        <v>2</v>
      </c>
      <c r="AA182" s="70">
        <f t="shared" si="24"/>
        <v>2</v>
      </c>
      <c r="AB182" s="70">
        <f t="shared" si="24"/>
        <v>2</v>
      </c>
      <c r="AC182" s="70">
        <f t="shared" si="24"/>
        <v>2</v>
      </c>
      <c r="AD182" s="70">
        <f t="shared" si="24"/>
        <v>2</v>
      </c>
      <c r="AE182" s="70">
        <f t="shared" si="24"/>
        <v>3</v>
      </c>
      <c r="AF182" s="70">
        <f t="shared" si="24"/>
        <v>3</v>
      </c>
      <c r="AG182" s="44">
        <f>SUM(AG167:AG181)</f>
        <v>117</v>
      </c>
    </row>
    <row r="183" spans="1:33" ht="19.5" thickBot="1" x14ac:dyDescent="0.35">
      <c r="A183" s="283" t="s">
        <v>359</v>
      </c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84"/>
      <c r="AB183" s="284"/>
      <c r="AC183" s="284"/>
      <c r="AD183" s="284"/>
      <c r="AE183" s="284"/>
      <c r="AF183" s="284"/>
      <c r="AG183" s="285"/>
    </row>
    <row r="184" spans="1:33" ht="27" customHeight="1" thickBot="1" x14ac:dyDescent="0.35">
      <c r="A184" s="61" t="s">
        <v>246</v>
      </c>
      <c r="B184" s="188"/>
      <c r="C184" s="11">
        <v>1</v>
      </c>
      <c r="D184" s="11">
        <v>1</v>
      </c>
      <c r="E184" s="11">
        <v>1</v>
      </c>
      <c r="F184" s="11">
        <v>1</v>
      </c>
      <c r="G184" s="11">
        <v>1</v>
      </c>
      <c r="H184" s="11"/>
      <c r="I184" s="194"/>
      <c r="J184" s="11">
        <v>1</v>
      </c>
      <c r="K184" s="11">
        <v>1</v>
      </c>
      <c r="L184" s="11">
        <v>1</v>
      </c>
      <c r="M184" s="11">
        <v>1</v>
      </c>
      <c r="N184" s="11">
        <v>1</v>
      </c>
      <c r="O184" s="11"/>
      <c r="P184" s="194"/>
      <c r="Q184" s="11">
        <v>1</v>
      </c>
      <c r="R184" s="11">
        <v>1</v>
      </c>
      <c r="S184" s="11">
        <v>1</v>
      </c>
      <c r="T184" s="11">
        <v>1</v>
      </c>
      <c r="U184" s="11">
        <v>1</v>
      </c>
      <c r="V184" s="194"/>
      <c r="W184" s="194"/>
      <c r="X184" s="11"/>
      <c r="Y184" s="194"/>
      <c r="Z184" s="194"/>
      <c r="AA184" s="194"/>
      <c r="AB184" s="194"/>
      <c r="AC184" s="194"/>
      <c r="AD184" s="194"/>
      <c r="AE184" s="11"/>
      <c r="AF184" s="12"/>
      <c r="AG184" s="49">
        <f>SUM(B184:AF184)</f>
        <v>15</v>
      </c>
    </row>
    <row r="185" spans="1:33" ht="27" customHeight="1" thickBot="1" x14ac:dyDescent="0.35">
      <c r="A185" s="61" t="s">
        <v>247</v>
      </c>
      <c r="B185" s="188"/>
      <c r="C185" s="11"/>
      <c r="D185" s="11"/>
      <c r="E185" s="11"/>
      <c r="F185" s="11"/>
      <c r="G185" s="11"/>
      <c r="H185" s="11"/>
      <c r="I185" s="194"/>
      <c r="J185" s="11"/>
      <c r="K185" s="11"/>
      <c r="L185" s="11"/>
      <c r="M185" s="11"/>
      <c r="N185" s="11"/>
      <c r="O185" s="11"/>
      <c r="P185" s="194"/>
      <c r="Q185" s="11"/>
      <c r="R185" s="11"/>
      <c r="S185" s="11"/>
      <c r="T185" s="11"/>
      <c r="U185" s="11"/>
      <c r="V185" s="194"/>
      <c r="W185" s="194"/>
      <c r="X185" s="11"/>
      <c r="Y185" s="194"/>
      <c r="Z185" s="194"/>
      <c r="AA185" s="194"/>
      <c r="AB185" s="194"/>
      <c r="AC185" s="194"/>
      <c r="AD185" s="194"/>
      <c r="AE185" s="11"/>
      <c r="AF185" s="12"/>
      <c r="AG185" s="49">
        <f t="shared" ref="AG185:AG207" si="25">SUM(B185:AF185)</f>
        <v>0</v>
      </c>
    </row>
    <row r="186" spans="1:33" ht="27" customHeight="1" thickBot="1" x14ac:dyDescent="0.35">
      <c r="A186" s="61" t="s">
        <v>248</v>
      </c>
      <c r="B186" s="188"/>
      <c r="C186" s="11"/>
      <c r="D186" s="11"/>
      <c r="E186" s="11"/>
      <c r="F186" s="11"/>
      <c r="G186" s="11"/>
      <c r="H186" s="11"/>
      <c r="I186" s="194"/>
      <c r="J186" s="11"/>
      <c r="K186" s="11"/>
      <c r="L186" s="11"/>
      <c r="M186" s="11"/>
      <c r="N186" s="11"/>
      <c r="O186" s="11"/>
      <c r="P186" s="194"/>
      <c r="Q186" s="11"/>
      <c r="R186" s="11"/>
      <c r="S186" s="11"/>
      <c r="T186" s="11"/>
      <c r="U186" s="11"/>
      <c r="V186" s="194"/>
      <c r="W186" s="194"/>
      <c r="X186" s="11"/>
      <c r="Y186" s="194"/>
      <c r="Z186" s="194"/>
      <c r="AA186" s="194"/>
      <c r="AB186" s="194"/>
      <c r="AC186" s="194"/>
      <c r="AD186" s="194"/>
      <c r="AE186" s="11"/>
      <c r="AF186" s="12"/>
      <c r="AG186" s="49">
        <f t="shared" si="25"/>
        <v>0</v>
      </c>
    </row>
    <row r="187" spans="1:33" ht="27" customHeight="1" thickBot="1" x14ac:dyDescent="0.35">
      <c r="A187" s="61" t="s">
        <v>249</v>
      </c>
      <c r="B187" s="188"/>
      <c r="C187" s="11"/>
      <c r="D187" s="11"/>
      <c r="E187" s="11"/>
      <c r="F187" s="11"/>
      <c r="G187" s="11"/>
      <c r="H187" s="11"/>
      <c r="I187" s="194"/>
      <c r="J187" s="11"/>
      <c r="K187" s="11"/>
      <c r="L187" s="11"/>
      <c r="M187" s="11"/>
      <c r="N187" s="11"/>
      <c r="O187" s="11"/>
      <c r="P187" s="194"/>
      <c r="Q187" s="11"/>
      <c r="R187" s="11"/>
      <c r="S187" s="11"/>
      <c r="T187" s="11"/>
      <c r="U187" s="11"/>
      <c r="V187" s="194"/>
      <c r="W187" s="194"/>
      <c r="X187" s="11"/>
      <c r="Y187" s="194"/>
      <c r="Z187" s="194"/>
      <c r="AA187" s="194"/>
      <c r="AB187" s="194"/>
      <c r="AC187" s="194"/>
      <c r="AD187" s="194"/>
      <c r="AE187" s="11"/>
      <c r="AF187" s="12"/>
      <c r="AG187" s="49">
        <f t="shared" si="25"/>
        <v>0</v>
      </c>
    </row>
    <row r="188" spans="1:33" ht="27" customHeight="1" thickBot="1" x14ac:dyDescent="0.35">
      <c r="A188" s="61" t="s">
        <v>250</v>
      </c>
      <c r="B188" s="188"/>
      <c r="C188" s="11"/>
      <c r="D188" s="11"/>
      <c r="E188" s="11"/>
      <c r="F188" s="11"/>
      <c r="G188" s="11"/>
      <c r="H188" s="11"/>
      <c r="I188" s="194"/>
      <c r="J188" s="11"/>
      <c r="K188" s="11"/>
      <c r="L188" s="11"/>
      <c r="M188" s="11"/>
      <c r="N188" s="11"/>
      <c r="O188" s="11"/>
      <c r="P188" s="194"/>
      <c r="Q188" s="11"/>
      <c r="R188" s="11"/>
      <c r="S188" s="11"/>
      <c r="T188" s="11"/>
      <c r="U188" s="11"/>
      <c r="V188" s="194"/>
      <c r="W188" s="194"/>
      <c r="X188" s="11"/>
      <c r="Y188" s="194"/>
      <c r="Z188" s="194"/>
      <c r="AA188" s="194"/>
      <c r="AB188" s="194"/>
      <c r="AC188" s="194"/>
      <c r="AD188" s="194"/>
      <c r="AE188" s="11"/>
      <c r="AF188" s="12"/>
      <c r="AG188" s="49">
        <f t="shared" si="25"/>
        <v>0</v>
      </c>
    </row>
    <row r="189" spans="1:33" ht="27" customHeight="1" thickBot="1" x14ac:dyDescent="0.35">
      <c r="A189" s="61" t="s">
        <v>251</v>
      </c>
      <c r="B189" s="188"/>
      <c r="C189" s="11"/>
      <c r="D189" s="11"/>
      <c r="E189" s="11"/>
      <c r="F189" s="11"/>
      <c r="G189" s="11"/>
      <c r="H189" s="11"/>
      <c r="I189" s="194"/>
      <c r="J189" s="11"/>
      <c r="K189" s="11"/>
      <c r="L189" s="11"/>
      <c r="M189" s="11"/>
      <c r="N189" s="11"/>
      <c r="O189" s="11"/>
      <c r="P189" s="194"/>
      <c r="Q189" s="11"/>
      <c r="R189" s="11"/>
      <c r="S189" s="11"/>
      <c r="T189" s="11"/>
      <c r="U189" s="11"/>
      <c r="V189" s="194"/>
      <c r="W189" s="194"/>
      <c r="X189" s="11"/>
      <c r="Y189" s="194"/>
      <c r="Z189" s="194"/>
      <c r="AA189" s="194"/>
      <c r="AB189" s="194"/>
      <c r="AC189" s="194"/>
      <c r="AD189" s="194"/>
      <c r="AE189" s="11"/>
      <c r="AF189" s="12"/>
      <c r="AG189" s="49">
        <f t="shared" si="25"/>
        <v>0</v>
      </c>
    </row>
    <row r="190" spans="1:33" ht="27" customHeight="1" thickBot="1" x14ac:dyDescent="0.35">
      <c r="A190" s="61" t="s">
        <v>467</v>
      </c>
      <c r="B190" s="188"/>
      <c r="C190" s="11"/>
      <c r="D190" s="11"/>
      <c r="E190" s="11"/>
      <c r="F190" s="11"/>
      <c r="G190" s="11"/>
      <c r="H190" s="11"/>
      <c r="I190" s="194"/>
      <c r="J190" s="11"/>
      <c r="K190" s="11"/>
      <c r="L190" s="11"/>
      <c r="M190" s="11"/>
      <c r="N190" s="11"/>
      <c r="O190" s="11"/>
      <c r="P190" s="194"/>
      <c r="Q190" s="11"/>
      <c r="R190" s="11"/>
      <c r="S190" s="11"/>
      <c r="T190" s="11"/>
      <c r="U190" s="11"/>
      <c r="V190" s="194"/>
      <c r="W190" s="194"/>
      <c r="X190" s="11"/>
      <c r="Y190" s="194"/>
      <c r="Z190" s="194"/>
      <c r="AA190" s="194"/>
      <c r="AB190" s="194"/>
      <c r="AC190" s="194"/>
      <c r="AD190" s="194"/>
      <c r="AE190" s="11"/>
      <c r="AF190" s="12"/>
      <c r="AG190" s="49">
        <f t="shared" si="25"/>
        <v>0</v>
      </c>
    </row>
    <row r="191" spans="1:33" ht="27" customHeight="1" thickBot="1" x14ac:dyDescent="0.35">
      <c r="A191" s="61" t="s">
        <v>252</v>
      </c>
      <c r="B191" s="188"/>
      <c r="C191" s="11"/>
      <c r="D191" s="11"/>
      <c r="E191" s="11"/>
      <c r="F191" s="11"/>
      <c r="G191" s="11"/>
      <c r="H191" s="11"/>
      <c r="I191" s="194"/>
      <c r="J191" s="11"/>
      <c r="K191" s="11"/>
      <c r="L191" s="11"/>
      <c r="M191" s="11"/>
      <c r="N191" s="11"/>
      <c r="O191" s="11"/>
      <c r="P191" s="194"/>
      <c r="Q191" s="11"/>
      <c r="R191" s="11"/>
      <c r="S191" s="11"/>
      <c r="T191" s="11"/>
      <c r="U191" s="11"/>
      <c r="V191" s="194"/>
      <c r="W191" s="194"/>
      <c r="X191" s="11"/>
      <c r="Y191" s="194"/>
      <c r="Z191" s="194"/>
      <c r="AA191" s="194"/>
      <c r="AB191" s="194"/>
      <c r="AC191" s="194"/>
      <c r="AD191" s="194"/>
      <c r="AE191" s="11"/>
      <c r="AF191" s="12"/>
      <c r="AG191" s="49">
        <f t="shared" si="25"/>
        <v>0</v>
      </c>
    </row>
    <row r="192" spans="1:33" ht="27" customHeight="1" thickBot="1" x14ac:dyDescent="0.35">
      <c r="A192" s="61" t="s">
        <v>253</v>
      </c>
      <c r="B192" s="188"/>
      <c r="C192" s="11"/>
      <c r="D192" s="11"/>
      <c r="E192" s="11"/>
      <c r="F192" s="11"/>
      <c r="G192" s="11"/>
      <c r="H192" s="11"/>
      <c r="I192" s="194"/>
      <c r="J192" s="11"/>
      <c r="K192" s="11"/>
      <c r="L192" s="11"/>
      <c r="M192" s="11"/>
      <c r="N192" s="11"/>
      <c r="O192" s="11"/>
      <c r="P192" s="194"/>
      <c r="Q192" s="11"/>
      <c r="R192" s="11"/>
      <c r="S192" s="11"/>
      <c r="T192" s="11"/>
      <c r="U192" s="11"/>
      <c r="V192" s="194"/>
      <c r="W192" s="194"/>
      <c r="X192" s="11"/>
      <c r="Y192" s="194"/>
      <c r="Z192" s="194"/>
      <c r="AA192" s="194"/>
      <c r="AB192" s="194"/>
      <c r="AC192" s="194"/>
      <c r="AD192" s="194"/>
      <c r="AE192" s="11"/>
      <c r="AF192" s="12"/>
      <c r="AG192" s="49">
        <f t="shared" si="25"/>
        <v>0</v>
      </c>
    </row>
    <row r="193" spans="1:33" ht="27" customHeight="1" thickBot="1" x14ac:dyDescent="0.35">
      <c r="A193" s="61" t="s">
        <v>254</v>
      </c>
      <c r="B193" s="188"/>
      <c r="C193" s="11"/>
      <c r="D193" s="11"/>
      <c r="E193" s="11"/>
      <c r="F193" s="11"/>
      <c r="G193" s="11"/>
      <c r="H193" s="11"/>
      <c r="I193" s="194"/>
      <c r="J193" s="11"/>
      <c r="K193" s="11"/>
      <c r="L193" s="11"/>
      <c r="M193" s="11"/>
      <c r="N193" s="11"/>
      <c r="O193" s="11"/>
      <c r="P193" s="194"/>
      <c r="Q193" s="11"/>
      <c r="R193" s="11"/>
      <c r="S193" s="11"/>
      <c r="T193" s="11"/>
      <c r="U193" s="11"/>
      <c r="V193" s="194"/>
      <c r="W193" s="194"/>
      <c r="X193" s="11"/>
      <c r="Y193" s="194"/>
      <c r="Z193" s="194"/>
      <c r="AA193" s="194"/>
      <c r="AB193" s="194"/>
      <c r="AC193" s="194"/>
      <c r="AD193" s="194"/>
      <c r="AE193" s="11"/>
      <c r="AF193" s="12"/>
      <c r="AG193" s="49">
        <f t="shared" si="25"/>
        <v>0</v>
      </c>
    </row>
    <row r="194" spans="1:33" ht="27" customHeight="1" thickBot="1" x14ac:dyDescent="0.35">
      <c r="A194" s="61" t="s">
        <v>255</v>
      </c>
      <c r="B194" s="188"/>
      <c r="C194" s="11"/>
      <c r="D194" s="11"/>
      <c r="E194" s="11"/>
      <c r="F194" s="11"/>
      <c r="G194" s="11"/>
      <c r="H194" s="11"/>
      <c r="I194" s="194"/>
      <c r="J194" s="11"/>
      <c r="K194" s="11"/>
      <c r="L194" s="11"/>
      <c r="M194" s="11"/>
      <c r="N194" s="11"/>
      <c r="O194" s="11"/>
      <c r="P194" s="194"/>
      <c r="Q194" s="11"/>
      <c r="R194" s="11"/>
      <c r="S194" s="11"/>
      <c r="T194" s="11"/>
      <c r="U194" s="11"/>
      <c r="V194" s="194"/>
      <c r="W194" s="194"/>
      <c r="X194" s="11"/>
      <c r="Y194" s="194"/>
      <c r="Z194" s="194"/>
      <c r="AA194" s="194"/>
      <c r="AB194" s="194"/>
      <c r="AC194" s="194"/>
      <c r="AD194" s="194"/>
      <c r="AE194" s="11"/>
      <c r="AF194" s="12"/>
      <c r="AG194" s="49">
        <f t="shared" si="25"/>
        <v>0</v>
      </c>
    </row>
    <row r="195" spans="1:33" ht="27" customHeight="1" thickBot="1" x14ac:dyDescent="0.35">
      <c r="A195" s="61" t="s">
        <v>256</v>
      </c>
      <c r="B195" s="188"/>
      <c r="C195" s="11">
        <v>1</v>
      </c>
      <c r="D195" s="11">
        <v>1</v>
      </c>
      <c r="E195" s="11">
        <v>1</v>
      </c>
      <c r="F195" s="11">
        <v>1</v>
      </c>
      <c r="G195" s="11">
        <v>1</v>
      </c>
      <c r="H195" s="11"/>
      <c r="I195" s="194"/>
      <c r="J195" s="11">
        <v>1</v>
      </c>
      <c r="K195" s="11">
        <v>1</v>
      </c>
      <c r="L195" s="11">
        <v>1</v>
      </c>
      <c r="M195" s="11">
        <v>1</v>
      </c>
      <c r="N195" s="11">
        <v>1</v>
      </c>
      <c r="O195" s="11"/>
      <c r="P195" s="194"/>
      <c r="Q195" s="11">
        <v>1</v>
      </c>
      <c r="R195" s="11">
        <v>1</v>
      </c>
      <c r="S195" s="11">
        <v>1</v>
      </c>
      <c r="T195" s="11">
        <v>1</v>
      </c>
      <c r="U195" s="11">
        <v>1</v>
      </c>
      <c r="V195" s="194"/>
      <c r="W195" s="194"/>
      <c r="X195" s="11">
        <v>1</v>
      </c>
      <c r="Y195" s="194"/>
      <c r="Z195" s="194"/>
      <c r="AA195" s="194"/>
      <c r="AB195" s="194"/>
      <c r="AC195" s="194"/>
      <c r="AD195" s="194"/>
      <c r="AE195" s="11">
        <v>1</v>
      </c>
      <c r="AF195" s="12">
        <v>1</v>
      </c>
      <c r="AG195" s="49">
        <f t="shared" si="25"/>
        <v>18</v>
      </c>
    </row>
    <row r="196" spans="1:33" ht="27" customHeight="1" thickBot="1" x14ac:dyDescent="0.35">
      <c r="A196" s="61" t="s">
        <v>257</v>
      </c>
      <c r="B196" s="188"/>
      <c r="C196" s="11"/>
      <c r="D196" s="11"/>
      <c r="E196" s="11"/>
      <c r="F196" s="11"/>
      <c r="G196" s="11"/>
      <c r="H196" s="11"/>
      <c r="I196" s="194"/>
      <c r="J196" s="11"/>
      <c r="K196" s="11"/>
      <c r="L196" s="11"/>
      <c r="M196" s="11"/>
      <c r="N196" s="11"/>
      <c r="O196" s="11"/>
      <c r="P196" s="194"/>
      <c r="Q196" s="11"/>
      <c r="R196" s="11"/>
      <c r="S196" s="11"/>
      <c r="T196" s="11"/>
      <c r="U196" s="11"/>
      <c r="V196" s="194"/>
      <c r="W196" s="194"/>
      <c r="X196" s="11"/>
      <c r="Y196" s="194"/>
      <c r="Z196" s="194"/>
      <c r="AA196" s="194"/>
      <c r="AB196" s="194"/>
      <c r="AC196" s="194"/>
      <c r="AD196" s="194"/>
      <c r="AE196" s="11"/>
      <c r="AF196" s="12"/>
      <c r="AG196" s="49">
        <f t="shared" si="25"/>
        <v>0</v>
      </c>
    </row>
    <row r="197" spans="1:33" ht="27" customHeight="1" thickBot="1" x14ac:dyDescent="0.35">
      <c r="A197" s="61" t="s">
        <v>258</v>
      </c>
      <c r="B197" s="188"/>
      <c r="C197" s="11"/>
      <c r="D197" s="11"/>
      <c r="E197" s="11"/>
      <c r="F197" s="11"/>
      <c r="G197" s="11"/>
      <c r="H197" s="11"/>
      <c r="I197" s="194"/>
      <c r="J197" s="11"/>
      <c r="K197" s="11"/>
      <c r="L197" s="11"/>
      <c r="M197" s="11"/>
      <c r="N197" s="11"/>
      <c r="O197" s="11"/>
      <c r="P197" s="194"/>
      <c r="Q197" s="11"/>
      <c r="R197" s="11"/>
      <c r="S197" s="11"/>
      <c r="T197" s="11"/>
      <c r="U197" s="11"/>
      <c r="V197" s="194"/>
      <c r="W197" s="194"/>
      <c r="X197" s="11"/>
      <c r="Y197" s="194"/>
      <c r="Z197" s="194"/>
      <c r="AA197" s="194"/>
      <c r="AB197" s="194"/>
      <c r="AC197" s="194"/>
      <c r="AD197" s="194"/>
      <c r="AE197" s="11"/>
      <c r="AF197" s="12"/>
      <c r="AG197" s="49">
        <f t="shared" si="25"/>
        <v>0</v>
      </c>
    </row>
    <row r="198" spans="1:33" ht="27" customHeight="1" thickBot="1" x14ac:dyDescent="0.35">
      <c r="A198" s="61" t="s">
        <v>259</v>
      </c>
      <c r="B198" s="188"/>
      <c r="C198" s="11"/>
      <c r="D198" s="11"/>
      <c r="E198" s="11"/>
      <c r="F198" s="11"/>
      <c r="G198" s="11"/>
      <c r="H198" s="11"/>
      <c r="I198" s="194"/>
      <c r="J198" s="11"/>
      <c r="K198" s="11"/>
      <c r="L198" s="11"/>
      <c r="M198" s="11"/>
      <c r="N198" s="11"/>
      <c r="O198" s="11"/>
      <c r="P198" s="194"/>
      <c r="Q198" s="11"/>
      <c r="R198" s="11"/>
      <c r="S198" s="11"/>
      <c r="T198" s="11"/>
      <c r="U198" s="11"/>
      <c r="V198" s="194"/>
      <c r="W198" s="194"/>
      <c r="X198" s="11"/>
      <c r="Y198" s="194"/>
      <c r="Z198" s="194"/>
      <c r="AA198" s="194"/>
      <c r="AB198" s="194"/>
      <c r="AC198" s="194"/>
      <c r="AD198" s="194"/>
      <c r="AE198" s="11"/>
      <c r="AF198" s="12"/>
      <c r="AG198" s="49">
        <f t="shared" si="25"/>
        <v>0</v>
      </c>
    </row>
    <row r="199" spans="1:33" ht="27" customHeight="1" thickBot="1" x14ac:dyDescent="0.35">
      <c r="A199" s="61" t="s">
        <v>260</v>
      </c>
      <c r="B199" s="188"/>
      <c r="C199" s="11">
        <v>1</v>
      </c>
      <c r="D199" s="11">
        <v>1</v>
      </c>
      <c r="E199" s="11">
        <v>1</v>
      </c>
      <c r="F199" s="11">
        <v>1</v>
      </c>
      <c r="G199" s="11"/>
      <c r="H199" s="11"/>
      <c r="I199" s="194"/>
      <c r="J199" s="11">
        <v>1</v>
      </c>
      <c r="K199" s="11">
        <v>1</v>
      </c>
      <c r="L199" s="11">
        <v>1</v>
      </c>
      <c r="M199" s="11">
        <v>1</v>
      </c>
      <c r="N199" s="11"/>
      <c r="O199" s="11"/>
      <c r="P199" s="194"/>
      <c r="Q199" s="11">
        <v>1</v>
      </c>
      <c r="R199" s="11">
        <v>1</v>
      </c>
      <c r="S199" s="11">
        <v>1</v>
      </c>
      <c r="T199" s="11">
        <v>1</v>
      </c>
      <c r="U199" s="11"/>
      <c r="V199" s="194"/>
      <c r="W199" s="194"/>
      <c r="X199" s="11"/>
      <c r="Y199" s="194"/>
      <c r="Z199" s="194"/>
      <c r="AA199" s="194"/>
      <c r="AB199" s="194"/>
      <c r="AC199" s="194"/>
      <c r="AD199" s="194"/>
      <c r="AE199" s="11"/>
      <c r="AF199" s="12"/>
      <c r="AG199" s="49">
        <f t="shared" si="25"/>
        <v>12</v>
      </c>
    </row>
    <row r="200" spans="1:33" ht="27" customHeight="1" thickBot="1" x14ac:dyDescent="0.35">
      <c r="A200" s="61" t="s">
        <v>261</v>
      </c>
      <c r="B200" s="188"/>
      <c r="C200" s="11"/>
      <c r="D200" s="11"/>
      <c r="E200" s="11"/>
      <c r="F200" s="11"/>
      <c r="G200" s="11"/>
      <c r="H200" s="11"/>
      <c r="I200" s="194"/>
      <c r="J200" s="11"/>
      <c r="K200" s="11"/>
      <c r="L200" s="11"/>
      <c r="M200" s="11"/>
      <c r="N200" s="11"/>
      <c r="O200" s="11"/>
      <c r="P200" s="194"/>
      <c r="Q200" s="11"/>
      <c r="R200" s="11"/>
      <c r="S200" s="11"/>
      <c r="T200" s="11"/>
      <c r="U200" s="11"/>
      <c r="V200" s="194"/>
      <c r="W200" s="194"/>
      <c r="X200" s="11"/>
      <c r="Y200" s="194"/>
      <c r="Z200" s="194"/>
      <c r="AA200" s="194"/>
      <c r="AB200" s="194"/>
      <c r="AC200" s="194"/>
      <c r="AD200" s="194"/>
      <c r="AE200" s="11"/>
      <c r="AF200" s="12"/>
      <c r="AG200" s="49">
        <f t="shared" si="25"/>
        <v>0</v>
      </c>
    </row>
    <row r="201" spans="1:33" ht="27" customHeight="1" thickBot="1" x14ac:dyDescent="0.35">
      <c r="A201" s="61" t="s">
        <v>262</v>
      </c>
      <c r="B201" s="188"/>
      <c r="C201" s="11">
        <v>1</v>
      </c>
      <c r="D201" s="11">
        <v>1</v>
      </c>
      <c r="E201" s="11"/>
      <c r="F201" s="11"/>
      <c r="G201" s="11">
        <v>1</v>
      </c>
      <c r="H201" s="11"/>
      <c r="I201" s="194"/>
      <c r="J201" s="11">
        <v>1</v>
      </c>
      <c r="K201" s="11"/>
      <c r="L201" s="11">
        <v>1</v>
      </c>
      <c r="M201" s="11"/>
      <c r="N201" s="11">
        <v>1</v>
      </c>
      <c r="O201" s="11"/>
      <c r="P201" s="194"/>
      <c r="Q201" s="11"/>
      <c r="R201" s="11"/>
      <c r="S201" s="11"/>
      <c r="T201" s="11">
        <v>1</v>
      </c>
      <c r="U201" s="11"/>
      <c r="V201" s="194"/>
      <c r="W201" s="194"/>
      <c r="X201" s="11">
        <v>1</v>
      </c>
      <c r="Y201" s="194"/>
      <c r="Z201" s="194"/>
      <c r="AA201" s="194"/>
      <c r="AB201" s="194"/>
      <c r="AC201" s="194"/>
      <c r="AD201" s="194"/>
      <c r="AE201" s="11">
        <v>1</v>
      </c>
      <c r="AF201" s="12">
        <v>1</v>
      </c>
      <c r="AG201" s="49">
        <f t="shared" si="25"/>
        <v>10</v>
      </c>
    </row>
    <row r="202" spans="1:33" ht="27" customHeight="1" thickBot="1" x14ac:dyDescent="0.35">
      <c r="A202" s="61" t="s">
        <v>263</v>
      </c>
      <c r="B202" s="188"/>
      <c r="C202" s="11"/>
      <c r="D202" s="11"/>
      <c r="E202" s="11"/>
      <c r="F202" s="11"/>
      <c r="G202" s="11"/>
      <c r="H202" s="11"/>
      <c r="I202" s="194"/>
      <c r="J202" s="11"/>
      <c r="K202" s="11"/>
      <c r="L202" s="11"/>
      <c r="M202" s="11"/>
      <c r="N202" s="11"/>
      <c r="O202" s="11"/>
      <c r="P202" s="194"/>
      <c r="Q202" s="11"/>
      <c r="R202" s="11"/>
      <c r="S202" s="11"/>
      <c r="T202" s="11"/>
      <c r="U202" s="11"/>
      <c r="V202" s="194"/>
      <c r="W202" s="194"/>
      <c r="X202" s="11"/>
      <c r="Y202" s="194"/>
      <c r="Z202" s="194"/>
      <c r="AA202" s="194"/>
      <c r="AB202" s="194"/>
      <c r="AC202" s="194"/>
      <c r="AD202" s="194"/>
      <c r="AE202" s="11"/>
      <c r="AF202" s="12"/>
      <c r="AG202" s="49">
        <f t="shared" si="25"/>
        <v>0</v>
      </c>
    </row>
    <row r="203" spans="1:33" ht="27" customHeight="1" thickBot="1" x14ac:dyDescent="0.35">
      <c r="A203" s="61" t="s">
        <v>264</v>
      </c>
      <c r="B203" s="188"/>
      <c r="C203" s="11">
        <v>1</v>
      </c>
      <c r="D203" s="11">
        <v>1</v>
      </c>
      <c r="E203" s="11">
        <v>1</v>
      </c>
      <c r="F203" s="11">
        <v>1</v>
      </c>
      <c r="G203" s="11">
        <v>1</v>
      </c>
      <c r="H203" s="11"/>
      <c r="I203" s="194"/>
      <c r="J203" s="11">
        <v>1</v>
      </c>
      <c r="K203" s="11">
        <v>1</v>
      </c>
      <c r="L203" s="11">
        <v>1</v>
      </c>
      <c r="M203" s="11">
        <v>1</v>
      </c>
      <c r="N203" s="11">
        <v>1</v>
      </c>
      <c r="O203" s="11"/>
      <c r="P203" s="194"/>
      <c r="Q203" s="11">
        <v>1</v>
      </c>
      <c r="R203" s="11">
        <v>1</v>
      </c>
      <c r="S203" s="11">
        <v>1</v>
      </c>
      <c r="T203" s="11">
        <v>1</v>
      </c>
      <c r="U203" s="11">
        <v>1</v>
      </c>
      <c r="V203" s="194"/>
      <c r="W203" s="194"/>
      <c r="X203" s="11">
        <v>1</v>
      </c>
      <c r="Y203" s="194"/>
      <c r="Z203" s="194"/>
      <c r="AA203" s="194"/>
      <c r="AB203" s="194"/>
      <c r="AC203" s="194"/>
      <c r="AD203" s="194"/>
      <c r="AE203" s="11">
        <v>1</v>
      </c>
      <c r="AF203" s="12">
        <v>1</v>
      </c>
      <c r="AG203" s="49">
        <f t="shared" si="25"/>
        <v>18</v>
      </c>
    </row>
    <row r="204" spans="1:33" ht="27" customHeight="1" thickBot="1" x14ac:dyDescent="0.35">
      <c r="A204" s="61" t="s">
        <v>265</v>
      </c>
      <c r="B204" s="188"/>
      <c r="C204" s="11"/>
      <c r="D204" s="11"/>
      <c r="E204" s="11"/>
      <c r="F204" s="11"/>
      <c r="G204" s="11"/>
      <c r="H204" s="11"/>
      <c r="I204" s="194"/>
      <c r="J204" s="11"/>
      <c r="K204" s="11"/>
      <c r="L204" s="11"/>
      <c r="M204" s="11"/>
      <c r="N204" s="11"/>
      <c r="O204" s="11"/>
      <c r="P204" s="194"/>
      <c r="Q204" s="11"/>
      <c r="R204" s="11"/>
      <c r="S204" s="11"/>
      <c r="T204" s="11"/>
      <c r="U204" s="11"/>
      <c r="V204" s="194"/>
      <c r="W204" s="194"/>
      <c r="X204" s="11"/>
      <c r="Y204" s="194"/>
      <c r="Z204" s="194"/>
      <c r="AA204" s="194"/>
      <c r="AB204" s="194"/>
      <c r="AC204" s="194"/>
      <c r="AD204" s="194"/>
      <c r="AE204" s="11"/>
      <c r="AF204" s="12"/>
      <c r="AG204" s="49">
        <f t="shared" si="25"/>
        <v>0</v>
      </c>
    </row>
    <row r="205" spans="1:33" ht="27" customHeight="1" thickBot="1" x14ac:dyDescent="0.35">
      <c r="A205" s="61" t="s">
        <v>266</v>
      </c>
      <c r="B205" s="188"/>
      <c r="C205" s="11"/>
      <c r="D205" s="11"/>
      <c r="E205" s="11"/>
      <c r="F205" s="11"/>
      <c r="G205" s="11"/>
      <c r="H205" s="11"/>
      <c r="I205" s="194"/>
      <c r="J205" s="11"/>
      <c r="K205" s="11"/>
      <c r="L205" s="11"/>
      <c r="M205" s="11"/>
      <c r="N205" s="11"/>
      <c r="O205" s="11"/>
      <c r="P205" s="194"/>
      <c r="Q205" s="11"/>
      <c r="R205" s="11"/>
      <c r="S205" s="11"/>
      <c r="T205" s="11"/>
      <c r="U205" s="11"/>
      <c r="V205" s="194"/>
      <c r="W205" s="194"/>
      <c r="X205" s="11"/>
      <c r="Y205" s="194"/>
      <c r="Z205" s="194"/>
      <c r="AA205" s="194"/>
      <c r="AB205" s="194"/>
      <c r="AC205" s="194"/>
      <c r="AD205" s="194"/>
      <c r="AE205" s="11"/>
      <c r="AF205" s="12"/>
      <c r="AG205" s="49">
        <f t="shared" si="25"/>
        <v>0</v>
      </c>
    </row>
    <row r="206" spans="1:33" ht="27" customHeight="1" thickBot="1" x14ac:dyDescent="0.35">
      <c r="A206" s="61" t="s">
        <v>267</v>
      </c>
      <c r="B206" s="188"/>
      <c r="C206" s="11">
        <v>1</v>
      </c>
      <c r="D206" s="11">
        <v>1</v>
      </c>
      <c r="E206" s="11">
        <v>1</v>
      </c>
      <c r="F206" s="11"/>
      <c r="G206" s="11"/>
      <c r="H206" s="11"/>
      <c r="I206" s="194"/>
      <c r="J206" s="11"/>
      <c r="K206" s="11"/>
      <c r="L206" s="11"/>
      <c r="M206" s="11"/>
      <c r="N206" s="11"/>
      <c r="O206" s="11"/>
      <c r="P206" s="194"/>
      <c r="Q206" s="11">
        <v>1</v>
      </c>
      <c r="R206" s="11">
        <v>1</v>
      </c>
      <c r="S206" s="11">
        <v>1</v>
      </c>
      <c r="T206" s="11">
        <v>1</v>
      </c>
      <c r="U206" s="11">
        <v>1</v>
      </c>
      <c r="V206" s="194"/>
      <c r="W206" s="194"/>
      <c r="X206" s="11"/>
      <c r="Y206" s="194"/>
      <c r="Z206" s="194"/>
      <c r="AA206" s="194"/>
      <c r="AB206" s="194"/>
      <c r="AC206" s="194"/>
      <c r="AD206" s="194"/>
      <c r="AE206" s="11"/>
      <c r="AF206" s="12"/>
      <c r="AG206" s="49">
        <f t="shared" si="25"/>
        <v>8</v>
      </c>
    </row>
    <row r="207" spans="1:33" ht="27" customHeight="1" thickBot="1" x14ac:dyDescent="0.35">
      <c r="A207" s="61" t="s">
        <v>268</v>
      </c>
      <c r="B207" s="188"/>
      <c r="C207" s="11"/>
      <c r="D207" s="11"/>
      <c r="E207" s="11"/>
      <c r="F207" s="11"/>
      <c r="G207" s="11"/>
      <c r="H207" s="11"/>
      <c r="I207" s="194"/>
      <c r="J207" s="11"/>
      <c r="K207" s="11"/>
      <c r="L207" s="11"/>
      <c r="M207" s="11"/>
      <c r="N207" s="11"/>
      <c r="O207" s="11"/>
      <c r="P207" s="194"/>
      <c r="Q207" s="11"/>
      <c r="R207" s="11"/>
      <c r="S207" s="11"/>
      <c r="T207" s="11"/>
      <c r="U207" s="11"/>
      <c r="V207" s="194"/>
      <c r="W207" s="194"/>
      <c r="X207" s="11"/>
      <c r="Y207" s="194"/>
      <c r="Z207" s="194"/>
      <c r="AA207" s="194"/>
      <c r="AB207" s="194"/>
      <c r="AC207" s="194"/>
      <c r="AD207" s="194"/>
      <c r="AE207" s="11"/>
      <c r="AF207" s="12"/>
      <c r="AG207" s="49">
        <f t="shared" si="25"/>
        <v>0</v>
      </c>
    </row>
    <row r="208" spans="1:33" ht="27" customHeight="1" thickBot="1" x14ac:dyDescent="0.35">
      <c r="A208" s="46" t="s">
        <v>10</v>
      </c>
      <c r="B208" s="70">
        <f>SUM(B184:B207)</f>
        <v>0</v>
      </c>
      <c r="C208" s="70">
        <f t="shared" ref="C208:AF208" si="26">SUM(C184:C207)</f>
        <v>6</v>
      </c>
      <c r="D208" s="70">
        <f t="shared" si="26"/>
        <v>6</v>
      </c>
      <c r="E208" s="70">
        <f t="shared" si="26"/>
        <v>5</v>
      </c>
      <c r="F208" s="70">
        <f t="shared" si="26"/>
        <v>4</v>
      </c>
      <c r="G208" s="70">
        <f t="shared" si="26"/>
        <v>4</v>
      </c>
      <c r="H208" s="70">
        <f t="shared" si="26"/>
        <v>0</v>
      </c>
      <c r="I208" s="70">
        <f t="shared" si="26"/>
        <v>0</v>
      </c>
      <c r="J208" s="70">
        <f t="shared" si="26"/>
        <v>5</v>
      </c>
      <c r="K208" s="70">
        <f t="shared" si="26"/>
        <v>4</v>
      </c>
      <c r="L208" s="70">
        <f t="shared" si="26"/>
        <v>5</v>
      </c>
      <c r="M208" s="70">
        <f t="shared" si="26"/>
        <v>4</v>
      </c>
      <c r="N208" s="70">
        <f t="shared" si="26"/>
        <v>4</v>
      </c>
      <c r="O208" s="70">
        <f t="shared" si="26"/>
        <v>0</v>
      </c>
      <c r="P208" s="70">
        <f t="shared" si="26"/>
        <v>0</v>
      </c>
      <c r="Q208" s="70">
        <f t="shared" si="26"/>
        <v>5</v>
      </c>
      <c r="R208" s="70">
        <f t="shared" si="26"/>
        <v>5</v>
      </c>
      <c r="S208" s="70">
        <f t="shared" si="26"/>
        <v>5</v>
      </c>
      <c r="T208" s="70">
        <f t="shared" si="26"/>
        <v>6</v>
      </c>
      <c r="U208" s="70">
        <f t="shared" si="26"/>
        <v>4</v>
      </c>
      <c r="V208" s="70">
        <f t="shared" si="26"/>
        <v>0</v>
      </c>
      <c r="W208" s="70">
        <f t="shared" si="26"/>
        <v>0</v>
      </c>
      <c r="X208" s="70">
        <f t="shared" si="26"/>
        <v>3</v>
      </c>
      <c r="Y208" s="70">
        <f t="shared" si="26"/>
        <v>0</v>
      </c>
      <c r="Z208" s="70">
        <f t="shared" si="26"/>
        <v>0</v>
      </c>
      <c r="AA208" s="70">
        <f t="shared" si="26"/>
        <v>0</v>
      </c>
      <c r="AB208" s="70">
        <f t="shared" si="26"/>
        <v>0</v>
      </c>
      <c r="AC208" s="70">
        <f t="shared" si="26"/>
        <v>0</v>
      </c>
      <c r="AD208" s="70">
        <f t="shared" si="26"/>
        <v>0</v>
      </c>
      <c r="AE208" s="70">
        <f t="shared" si="26"/>
        <v>3</v>
      </c>
      <c r="AF208" s="70">
        <f t="shared" si="26"/>
        <v>3</v>
      </c>
      <c r="AG208" s="44">
        <f>SUM(AG184:AG207)</f>
        <v>81</v>
      </c>
    </row>
    <row r="209" spans="1:33" ht="19.5" thickBot="1" x14ac:dyDescent="0.35">
      <c r="A209" s="283" t="s">
        <v>360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84"/>
      <c r="AB209" s="284"/>
      <c r="AC209" s="284"/>
      <c r="AD209" s="284"/>
      <c r="AE209" s="284"/>
      <c r="AF209" s="284"/>
      <c r="AG209" s="285"/>
    </row>
    <row r="210" spans="1:33" ht="27" customHeight="1" thickBot="1" x14ac:dyDescent="0.35">
      <c r="A210" s="61" t="s">
        <v>270</v>
      </c>
      <c r="B210" s="10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2"/>
      <c r="AG210" s="49">
        <f>SUM(B210:AF210)</f>
        <v>0</v>
      </c>
    </row>
    <row r="211" spans="1:33" ht="27" customHeight="1" thickBot="1" x14ac:dyDescent="0.35">
      <c r="A211" s="46" t="s">
        <v>10</v>
      </c>
      <c r="B211" s="70">
        <f>SUM(B210:B210)</f>
        <v>0</v>
      </c>
      <c r="C211" s="70">
        <f t="shared" ref="C211:AF211" si="27">SUM(C210:C210)</f>
        <v>0</v>
      </c>
      <c r="D211" s="70">
        <f t="shared" si="27"/>
        <v>0</v>
      </c>
      <c r="E211" s="70">
        <f t="shared" si="27"/>
        <v>0</v>
      </c>
      <c r="F211" s="70">
        <f t="shared" si="27"/>
        <v>0</v>
      </c>
      <c r="G211" s="70">
        <f t="shared" si="27"/>
        <v>0</v>
      </c>
      <c r="H211" s="70">
        <f t="shared" si="27"/>
        <v>0</v>
      </c>
      <c r="I211" s="70">
        <f t="shared" si="27"/>
        <v>0</v>
      </c>
      <c r="J211" s="70">
        <f t="shared" si="27"/>
        <v>0</v>
      </c>
      <c r="K211" s="70">
        <f t="shared" si="27"/>
        <v>0</v>
      </c>
      <c r="L211" s="70">
        <f t="shared" si="27"/>
        <v>0</v>
      </c>
      <c r="M211" s="70">
        <f t="shared" si="27"/>
        <v>0</v>
      </c>
      <c r="N211" s="70">
        <f t="shared" si="27"/>
        <v>0</v>
      </c>
      <c r="O211" s="70">
        <f t="shared" si="27"/>
        <v>0</v>
      </c>
      <c r="P211" s="70">
        <f t="shared" si="27"/>
        <v>0</v>
      </c>
      <c r="Q211" s="70">
        <f t="shared" si="27"/>
        <v>0</v>
      </c>
      <c r="R211" s="70">
        <f t="shared" si="27"/>
        <v>0</v>
      </c>
      <c r="S211" s="70">
        <f t="shared" si="27"/>
        <v>0</v>
      </c>
      <c r="T211" s="70">
        <f t="shared" si="27"/>
        <v>0</v>
      </c>
      <c r="U211" s="70">
        <f t="shared" si="27"/>
        <v>0</v>
      </c>
      <c r="V211" s="70">
        <f t="shared" si="27"/>
        <v>0</v>
      </c>
      <c r="W211" s="70">
        <f t="shared" si="27"/>
        <v>0</v>
      </c>
      <c r="X211" s="70">
        <f t="shared" si="27"/>
        <v>0</v>
      </c>
      <c r="Y211" s="70">
        <f t="shared" si="27"/>
        <v>0</v>
      </c>
      <c r="Z211" s="70">
        <f t="shared" si="27"/>
        <v>0</v>
      </c>
      <c r="AA211" s="70">
        <f t="shared" si="27"/>
        <v>0</v>
      </c>
      <c r="AB211" s="70">
        <f t="shared" si="27"/>
        <v>0</v>
      </c>
      <c r="AC211" s="70">
        <f t="shared" si="27"/>
        <v>0</v>
      </c>
      <c r="AD211" s="70">
        <f t="shared" si="27"/>
        <v>0</v>
      </c>
      <c r="AE211" s="70">
        <f t="shared" si="27"/>
        <v>0</v>
      </c>
      <c r="AF211" s="70">
        <f t="shared" si="27"/>
        <v>0</v>
      </c>
      <c r="AG211" s="44">
        <f>SUM(AG210:AG210)</f>
        <v>0</v>
      </c>
    </row>
    <row r="212" spans="1:33" ht="19.5" thickBot="1" x14ac:dyDescent="0.35">
      <c r="A212" s="283" t="s">
        <v>361</v>
      </c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  <c r="AA212" s="284"/>
      <c r="AB212" s="284"/>
      <c r="AC212" s="284"/>
      <c r="AD212" s="284"/>
      <c r="AE212" s="284"/>
      <c r="AF212" s="284"/>
      <c r="AG212" s="285"/>
    </row>
    <row r="213" spans="1:33" ht="27" customHeight="1" thickBot="1" x14ac:dyDescent="0.35">
      <c r="A213" s="61" t="s">
        <v>271</v>
      </c>
      <c r="B213" s="10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2"/>
      <c r="AG213" s="49">
        <f>SUM(B213:AF213)</f>
        <v>0</v>
      </c>
    </row>
    <row r="214" spans="1:33" ht="27" customHeight="1" thickBot="1" x14ac:dyDescent="0.35">
      <c r="A214" s="61" t="s">
        <v>272</v>
      </c>
      <c r="B214" s="10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2"/>
      <c r="AG214" s="49">
        <f>SUM(B214:AF214)</f>
        <v>0</v>
      </c>
    </row>
    <row r="215" spans="1:33" ht="27" customHeight="1" thickBot="1" x14ac:dyDescent="0.35">
      <c r="A215" s="61" t="s">
        <v>273</v>
      </c>
      <c r="B215" s="10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2"/>
      <c r="AG215" s="49">
        <f>SUM(B215:AF215)</f>
        <v>0</v>
      </c>
    </row>
    <row r="216" spans="1:33" ht="27" customHeight="1" thickBot="1" x14ac:dyDescent="0.35">
      <c r="A216" s="61" t="s">
        <v>274</v>
      </c>
      <c r="B216" s="10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2"/>
      <c r="AG216" s="49">
        <f>SUM(B216:AF216)</f>
        <v>0</v>
      </c>
    </row>
    <row r="217" spans="1:33" ht="27" customHeight="1" thickBot="1" x14ac:dyDescent="0.35">
      <c r="A217" s="46" t="s">
        <v>10</v>
      </c>
      <c r="B217" s="70">
        <f>SUM(B213:B216)</f>
        <v>0</v>
      </c>
      <c r="C217" s="70">
        <f t="shared" ref="C217:AF217" si="28">SUM(C213:C216)</f>
        <v>0</v>
      </c>
      <c r="D217" s="70">
        <f t="shared" si="28"/>
        <v>0</v>
      </c>
      <c r="E217" s="70">
        <f t="shared" si="28"/>
        <v>0</v>
      </c>
      <c r="F217" s="70">
        <f t="shared" si="28"/>
        <v>0</v>
      </c>
      <c r="G217" s="70">
        <f t="shared" si="28"/>
        <v>0</v>
      </c>
      <c r="H217" s="70">
        <f t="shared" si="28"/>
        <v>0</v>
      </c>
      <c r="I217" s="70">
        <f t="shared" si="28"/>
        <v>0</v>
      </c>
      <c r="J217" s="70">
        <f t="shared" si="28"/>
        <v>0</v>
      </c>
      <c r="K217" s="70">
        <f t="shared" si="28"/>
        <v>0</v>
      </c>
      <c r="L217" s="70">
        <f t="shared" si="28"/>
        <v>0</v>
      </c>
      <c r="M217" s="70">
        <f t="shared" si="28"/>
        <v>0</v>
      </c>
      <c r="N217" s="70">
        <f t="shared" si="28"/>
        <v>0</v>
      </c>
      <c r="O217" s="70">
        <f t="shared" si="28"/>
        <v>0</v>
      </c>
      <c r="P217" s="70">
        <f t="shared" si="28"/>
        <v>0</v>
      </c>
      <c r="Q217" s="70">
        <f t="shared" si="28"/>
        <v>0</v>
      </c>
      <c r="R217" s="70">
        <f t="shared" si="28"/>
        <v>0</v>
      </c>
      <c r="S217" s="70">
        <f t="shared" si="28"/>
        <v>0</v>
      </c>
      <c r="T217" s="70">
        <f t="shared" si="28"/>
        <v>0</v>
      </c>
      <c r="U217" s="70">
        <f t="shared" si="28"/>
        <v>0</v>
      </c>
      <c r="V217" s="70">
        <f t="shared" si="28"/>
        <v>0</v>
      </c>
      <c r="W217" s="70">
        <f t="shared" si="28"/>
        <v>0</v>
      </c>
      <c r="X217" s="70">
        <f t="shared" si="28"/>
        <v>0</v>
      </c>
      <c r="Y217" s="70">
        <f t="shared" si="28"/>
        <v>0</v>
      </c>
      <c r="Z217" s="70">
        <f t="shared" si="28"/>
        <v>0</v>
      </c>
      <c r="AA217" s="70">
        <f t="shared" si="28"/>
        <v>0</v>
      </c>
      <c r="AB217" s="70">
        <f t="shared" si="28"/>
        <v>0</v>
      </c>
      <c r="AC217" s="70">
        <f t="shared" si="28"/>
        <v>0</v>
      </c>
      <c r="AD217" s="70">
        <f t="shared" si="28"/>
        <v>0</v>
      </c>
      <c r="AE217" s="70">
        <f t="shared" si="28"/>
        <v>0</v>
      </c>
      <c r="AF217" s="70">
        <f t="shared" si="28"/>
        <v>0</v>
      </c>
      <c r="AG217" s="44">
        <f>SUM(AG213:AG216)</f>
        <v>0</v>
      </c>
    </row>
    <row r="218" spans="1:33" ht="19.5" thickBot="1" x14ac:dyDescent="0.35">
      <c r="A218" s="283" t="s">
        <v>362</v>
      </c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  <c r="AA218" s="284"/>
      <c r="AB218" s="284"/>
      <c r="AC218" s="284"/>
      <c r="AD218" s="284"/>
      <c r="AE218" s="284"/>
      <c r="AF218" s="284"/>
      <c r="AG218" s="285"/>
    </row>
    <row r="219" spans="1:33" ht="27" customHeight="1" thickBot="1" x14ac:dyDescent="0.35">
      <c r="A219" s="61" t="s">
        <v>275</v>
      </c>
      <c r="B219" s="188"/>
      <c r="C219" s="11"/>
      <c r="D219" s="11"/>
      <c r="E219" s="11"/>
      <c r="F219" s="11"/>
      <c r="G219" s="11"/>
      <c r="H219" s="11"/>
      <c r="I219" s="194"/>
      <c r="J219" s="11"/>
      <c r="K219" s="11"/>
      <c r="L219" s="11"/>
      <c r="M219" s="11"/>
      <c r="N219" s="11"/>
      <c r="O219" s="11"/>
      <c r="P219" s="194"/>
      <c r="Q219" s="11"/>
      <c r="R219" s="11"/>
      <c r="S219" s="11"/>
      <c r="T219" s="11"/>
      <c r="U219" s="11"/>
      <c r="V219" s="194"/>
      <c r="W219" s="194"/>
      <c r="X219" s="11"/>
      <c r="Y219" s="194"/>
      <c r="Z219" s="194"/>
      <c r="AA219" s="194"/>
      <c r="AB219" s="194"/>
      <c r="AC219" s="194"/>
      <c r="AD219" s="194"/>
      <c r="AE219" s="11"/>
      <c r="AF219" s="12"/>
      <c r="AG219" s="49">
        <f>SUM(B219:AF219)</f>
        <v>0</v>
      </c>
    </row>
    <row r="220" spans="1:33" ht="27" customHeight="1" thickBot="1" x14ac:dyDescent="0.35">
      <c r="A220" s="61" t="s">
        <v>276</v>
      </c>
      <c r="B220" s="188"/>
      <c r="C220" s="11"/>
      <c r="D220" s="11"/>
      <c r="E220" s="11"/>
      <c r="F220" s="11"/>
      <c r="G220" s="11"/>
      <c r="H220" s="11"/>
      <c r="I220" s="194"/>
      <c r="J220" s="11"/>
      <c r="K220" s="11"/>
      <c r="L220" s="11"/>
      <c r="M220" s="11"/>
      <c r="N220" s="11"/>
      <c r="O220" s="11"/>
      <c r="P220" s="194"/>
      <c r="Q220" s="11"/>
      <c r="R220" s="11"/>
      <c r="S220" s="11"/>
      <c r="T220" s="11"/>
      <c r="U220" s="11"/>
      <c r="V220" s="194"/>
      <c r="W220" s="194"/>
      <c r="X220" s="11"/>
      <c r="Y220" s="194"/>
      <c r="Z220" s="194"/>
      <c r="AA220" s="194"/>
      <c r="AB220" s="194"/>
      <c r="AC220" s="194"/>
      <c r="AD220" s="194"/>
      <c r="AE220" s="11"/>
      <c r="AF220" s="12"/>
      <c r="AG220" s="49">
        <f t="shared" ref="AG220:AG242" si="29">SUM(B220:AF220)</f>
        <v>0</v>
      </c>
    </row>
    <row r="221" spans="1:33" ht="27" customHeight="1" thickBot="1" x14ac:dyDescent="0.35">
      <c r="A221" s="61" t="s">
        <v>277</v>
      </c>
      <c r="B221" s="188"/>
      <c r="C221" s="11"/>
      <c r="D221" s="11"/>
      <c r="E221" s="11"/>
      <c r="F221" s="11"/>
      <c r="G221" s="11"/>
      <c r="H221" s="11"/>
      <c r="I221" s="194"/>
      <c r="J221" s="11"/>
      <c r="K221" s="11"/>
      <c r="L221" s="11"/>
      <c r="M221" s="11"/>
      <c r="N221" s="11"/>
      <c r="O221" s="11"/>
      <c r="P221" s="194"/>
      <c r="Q221" s="11"/>
      <c r="R221" s="11"/>
      <c r="S221" s="11"/>
      <c r="T221" s="11"/>
      <c r="U221" s="11"/>
      <c r="V221" s="194"/>
      <c r="W221" s="194"/>
      <c r="X221" s="11"/>
      <c r="Y221" s="194"/>
      <c r="Z221" s="194"/>
      <c r="AA221" s="194"/>
      <c r="AB221" s="194"/>
      <c r="AC221" s="194"/>
      <c r="AD221" s="194"/>
      <c r="AE221" s="11"/>
      <c r="AF221" s="12"/>
      <c r="AG221" s="49">
        <f t="shared" si="29"/>
        <v>0</v>
      </c>
    </row>
    <row r="222" spans="1:33" ht="27" customHeight="1" thickBot="1" x14ac:dyDescent="0.35">
      <c r="A222" s="61" t="s">
        <v>278</v>
      </c>
      <c r="B222" s="188"/>
      <c r="C222" s="11"/>
      <c r="D222" s="11"/>
      <c r="E222" s="11"/>
      <c r="F222" s="11"/>
      <c r="G222" s="11"/>
      <c r="H222" s="11"/>
      <c r="I222" s="194"/>
      <c r="J222" s="11"/>
      <c r="K222" s="11"/>
      <c r="L222" s="11"/>
      <c r="M222" s="11"/>
      <c r="N222" s="11"/>
      <c r="O222" s="11"/>
      <c r="P222" s="194"/>
      <c r="Q222" s="11"/>
      <c r="R222" s="11"/>
      <c r="S222" s="11"/>
      <c r="T222" s="11"/>
      <c r="U222" s="11"/>
      <c r="V222" s="194"/>
      <c r="W222" s="194"/>
      <c r="X222" s="11"/>
      <c r="Y222" s="194"/>
      <c r="Z222" s="194"/>
      <c r="AA222" s="194"/>
      <c r="AB222" s="194"/>
      <c r="AC222" s="194"/>
      <c r="AD222" s="194"/>
      <c r="AE222" s="11"/>
      <c r="AF222" s="12"/>
      <c r="AG222" s="49">
        <f t="shared" si="29"/>
        <v>0</v>
      </c>
    </row>
    <row r="223" spans="1:33" ht="27" customHeight="1" thickBot="1" x14ac:dyDescent="0.35">
      <c r="A223" s="61" t="s">
        <v>279</v>
      </c>
      <c r="B223" s="188"/>
      <c r="C223" s="11"/>
      <c r="D223" s="11"/>
      <c r="E223" s="11"/>
      <c r="F223" s="11"/>
      <c r="G223" s="11"/>
      <c r="H223" s="11"/>
      <c r="I223" s="194"/>
      <c r="J223" s="11"/>
      <c r="K223" s="11"/>
      <c r="L223" s="11"/>
      <c r="M223" s="11"/>
      <c r="N223" s="11"/>
      <c r="O223" s="11"/>
      <c r="P223" s="194"/>
      <c r="Q223" s="11"/>
      <c r="R223" s="11"/>
      <c r="S223" s="11"/>
      <c r="T223" s="11"/>
      <c r="U223" s="11"/>
      <c r="V223" s="194"/>
      <c r="W223" s="194"/>
      <c r="X223" s="11"/>
      <c r="Y223" s="194"/>
      <c r="Z223" s="194"/>
      <c r="AA223" s="194"/>
      <c r="AB223" s="194"/>
      <c r="AC223" s="194"/>
      <c r="AD223" s="194"/>
      <c r="AE223" s="11"/>
      <c r="AF223" s="12"/>
      <c r="AG223" s="49">
        <f t="shared" si="29"/>
        <v>0</v>
      </c>
    </row>
    <row r="224" spans="1:33" ht="27" customHeight="1" thickBot="1" x14ac:dyDescent="0.35">
      <c r="A224" s="61" t="s">
        <v>280</v>
      </c>
      <c r="B224" s="188"/>
      <c r="C224" s="11"/>
      <c r="D224" s="11"/>
      <c r="E224" s="11"/>
      <c r="F224" s="11"/>
      <c r="G224" s="11"/>
      <c r="H224" s="11"/>
      <c r="I224" s="194"/>
      <c r="J224" s="11"/>
      <c r="K224" s="11"/>
      <c r="L224" s="11"/>
      <c r="M224" s="11"/>
      <c r="N224" s="11"/>
      <c r="O224" s="11"/>
      <c r="P224" s="194"/>
      <c r="Q224" s="11"/>
      <c r="R224" s="11"/>
      <c r="S224" s="11"/>
      <c r="T224" s="11"/>
      <c r="U224" s="11"/>
      <c r="V224" s="194"/>
      <c r="W224" s="194"/>
      <c r="X224" s="11"/>
      <c r="Y224" s="194"/>
      <c r="Z224" s="194"/>
      <c r="AA224" s="194"/>
      <c r="AB224" s="194"/>
      <c r="AC224" s="194"/>
      <c r="AD224" s="194"/>
      <c r="AE224" s="11"/>
      <c r="AF224" s="12"/>
      <c r="AG224" s="49">
        <f t="shared" si="29"/>
        <v>0</v>
      </c>
    </row>
    <row r="225" spans="1:33" ht="27" customHeight="1" thickBot="1" x14ac:dyDescent="0.35">
      <c r="A225" s="61" t="s">
        <v>281</v>
      </c>
      <c r="B225" s="188"/>
      <c r="C225" s="11"/>
      <c r="D225" s="11"/>
      <c r="E225" s="11"/>
      <c r="F225" s="11"/>
      <c r="G225" s="11"/>
      <c r="H225" s="11"/>
      <c r="I225" s="194"/>
      <c r="J225" s="11"/>
      <c r="K225" s="11"/>
      <c r="L225" s="11"/>
      <c r="M225" s="11"/>
      <c r="N225" s="11"/>
      <c r="O225" s="11"/>
      <c r="P225" s="194"/>
      <c r="Q225" s="11"/>
      <c r="R225" s="11"/>
      <c r="S225" s="11"/>
      <c r="T225" s="11"/>
      <c r="U225" s="11"/>
      <c r="V225" s="194"/>
      <c r="W225" s="194"/>
      <c r="X225" s="11"/>
      <c r="Y225" s="194"/>
      <c r="Z225" s="194"/>
      <c r="AA225" s="194"/>
      <c r="AB225" s="194"/>
      <c r="AC225" s="194"/>
      <c r="AD225" s="194"/>
      <c r="AE225" s="11"/>
      <c r="AF225" s="12"/>
      <c r="AG225" s="49">
        <f t="shared" si="29"/>
        <v>0</v>
      </c>
    </row>
    <row r="226" spans="1:33" ht="27" customHeight="1" thickBot="1" x14ac:dyDescent="0.35">
      <c r="A226" s="61" t="s">
        <v>282</v>
      </c>
      <c r="B226" s="188"/>
      <c r="C226" s="11">
        <v>1</v>
      </c>
      <c r="D226" s="11">
        <v>1</v>
      </c>
      <c r="E226" s="11">
        <v>1</v>
      </c>
      <c r="F226" s="11">
        <v>1</v>
      </c>
      <c r="G226" s="11">
        <v>1</v>
      </c>
      <c r="H226" s="11">
        <v>1</v>
      </c>
      <c r="I226" s="194"/>
      <c r="J226" s="11">
        <v>1</v>
      </c>
      <c r="K226" s="11">
        <v>1</v>
      </c>
      <c r="L226" s="11">
        <v>1</v>
      </c>
      <c r="M226" s="11">
        <v>1</v>
      </c>
      <c r="N226" s="11">
        <v>1</v>
      </c>
      <c r="O226" s="11"/>
      <c r="P226" s="194"/>
      <c r="Q226" s="11">
        <v>1</v>
      </c>
      <c r="R226" s="11">
        <v>1</v>
      </c>
      <c r="S226" s="11">
        <v>1</v>
      </c>
      <c r="T226" s="11">
        <v>1</v>
      </c>
      <c r="U226" s="11">
        <v>1</v>
      </c>
      <c r="V226" s="194"/>
      <c r="W226" s="194"/>
      <c r="X226" s="11"/>
      <c r="Y226" s="194"/>
      <c r="Z226" s="194"/>
      <c r="AA226" s="194"/>
      <c r="AB226" s="194"/>
      <c r="AC226" s="194"/>
      <c r="AD226" s="194"/>
      <c r="AE226" s="11"/>
      <c r="AF226" s="12"/>
      <c r="AG226" s="49">
        <f t="shared" si="29"/>
        <v>16</v>
      </c>
    </row>
    <row r="227" spans="1:33" ht="27" customHeight="1" thickBot="1" x14ac:dyDescent="0.35">
      <c r="A227" s="61" t="s">
        <v>283</v>
      </c>
      <c r="B227" s="188"/>
      <c r="C227" s="11"/>
      <c r="D227" s="11"/>
      <c r="E227" s="11"/>
      <c r="F227" s="11"/>
      <c r="G227" s="11"/>
      <c r="H227" s="11"/>
      <c r="I227" s="194"/>
      <c r="J227" s="11"/>
      <c r="K227" s="11"/>
      <c r="L227" s="11"/>
      <c r="M227" s="11"/>
      <c r="N227" s="11"/>
      <c r="O227" s="11"/>
      <c r="P227" s="194"/>
      <c r="Q227" s="11"/>
      <c r="R227" s="11"/>
      <c r="S227" s="11"/>
      <c r="T227" s="11"/>
      <c r="U227" s="11"/>
      <c r="V227" s="194"/>
      <c r="W227" s="194"/>
      <c r="X227" s="11"/>
      <c r="Y227" s="194"/>
      <c r="Z227" s="194"/>
      <c r="AA227" s="194"/>
      <c r="AB227" s="194"/>
      <c r="AC227" s="194"/>
      <c r="AD227" s="194"/>
      <c r="AE227" s="11"/>
      <c r="AF227" s="12"/>
      <c r="AG227" s="49">
        <f t="shared" si="29"/>
        <v>0</v>
      </c>
    </row>
    <row r="228" spans="1:33" ht="27" customHeight="1" thickBot="1" x14ac:dyDescent="0.35">
      <c r="A228" s="61" t="s">
        <v>284</v>
      </c>
      <c r="B228" s="188"/>
      <c r="C228" s="11"/>
      <c r="D228" s="11"/>
      <c r="E228" s="11"/>
      <c r="F228" s="11"/>
      <c r="G228" s="11"/>
      <c r="H228" s="11"/>
      <c r="I228" s="194"/>
      <c r="J228" s="11"/>
      <c r="K228" s="11"/>
      <c r="L228" s="11"/>
      <c r="M228" s="11"/>
      <c r="N228" s="11"/>
      <c r="O228" s="11"/>
      <c r="P228" s="194"/>
      <c r="Q228" s="11"/>
      <c r="R228" s="11"/>
      <c r="S228" s="11"/>
      <c r="T228" s="11"/>
      <c r="U228" s="11"/>
      <c r="V228" s="194"/>
      <c r="W228" s="194"/>
      <c r="X228" s="11"/>
      <c r="Y228" s="194"/>
      <c r="Z228" s="194"/>
      <c r="AA228" s="194"/>
      <c r="AB228" s="194"/>
      <c r="AC228" s="194"/>
      <c r="AD228" s="194"/>
      <c r="AE228" s="11"/>
      <c r="AF228" s="12"/>
      <c r="AG228" s="49">
        <f t="shared" si="29"/>
        <v>0</v>
      </c>
    </row>
    <row r="229" spans="1:33" ht="27" customHeight="1" thickBot="1" x14ac:dyDescent="0.35">
      <c r="A229" s="61" t="s">
        <v>285</v>
      </c>
      <c r="B229" s="188"/>
      <c r="C229" s="11"/>
      <c r="D229" s="11"/>
      <c r="E229" s="11"/>
      <c r="F229" s="11"/>
      <c r="G229" s="11"/>
      <c r="H229" s="11"/>
      <c r="I229" s="194"/>
      <c r="J229" s="11"/>
      <c r="K229" s="11"/>
      <c r="L229" s="11"/>
      <c r="M229" s="11"/>
      <c r="N229" s="11"/>
      <c r="O229" s="11"/>
      <c r="P229" s="194"/>
      <c r="Q229" s="11"/>
      <c r="R229" s="11"/>
      <c r="S229" s="11"/>
      <c r="T229" s="11"/>
      <c r="U229" s="11"/>
      <c r="V229" s="194"/>
      <c r="W229" s="194"/>
      <c r="X229" s="11"/>
      <c r="Y229" s="194"/>
      <c r="Z229" s="194"/>
      <c r="AA229" s="194"/>
      <c r="AB229" s="194"/>
      <c r="AC229" s="194"/>
      <c r="AD229" s="194"/>
      <c r="AE229" s="11"/>
      <c r="AF229" s="12"/>
      <c r="AG229" s="49">
        <f t="shared" si="29"/>
        <v>0</v>
      </c>
    </row>
    <row r="230" spans="1:33" ht="27" customHeight="1" thickBot="1" x14ac:dyDescent="0.35">
      <c r="A230" s="61" t="s">
        <v>286</v>
      </c>
      <c r="B230" s="188"/>
      <c r="C230" s="11"/>
      <c r="D230" s="11"/>
      <c r="E230" s="11"/>
      <c r="F230" s="11"/>
      <c r="G230" s="11"/>
      <c r="H230" s="11"/>
      <c r="I230" s="194"/>
      <c r="J230" s="11"/>
      <c r="K230" s="11"/>
      <c r="L230" s="11"/>
      <c r="M230" s="11"/>
      <c r="N230" s="11"/>
      <c r="O230" s="11"/>
      <c r="P230" s="194"/>
      <c r="Q230" s="11"/>
      <c r="R230" s="11"/>
      <c r="S230" s="11"/>
      <c r="T230" s="11"/>
      <c r="U230" s="11"/>
      <c r="V230" s="194"/>
      <c r="W230" s="194"/>
      <c r="X230" s="11"/>
      <c r="Y230" s="194"/>
      <c r="Z230" s="194"/>
      <c r="AA230" s="194"/>
      <c r="AB230" s="194"/>
      <c r="AC230" s="194"/>
      <c r="AD230" s="194"/>
      <c r="AE230" s="11"/>
      <c r="AF230" s="12"/>
      <c r="AG230" s="49">
        <f t="shared" si="29"/>
        <v>0</v>
      </c>
    </row>
    <row r="231" spans="1:33" ht="27" customHeight="1" thickBot="1" x14ac:dyDescent="0.35">
      <c r="A231" s="61" t="s">
        <v>73</v>
      </c>
      <c r="B231" s="188"/>
      <c r="C231" s="11"/>
      <c r="D231" s="11"/>
      <c r="E231" s="11"/>
      <c r="F231" s="11"/>
      <c r="G231" s="11"/>
      <c r="H231" s="11"/>
      <c r="I231" s="194"/>
      <c r="J231" s="11"/>
      <c r="K231" s="11"/>
      <c r="L231" s="11"/>
      <c r="M231" s="11"/>
      <c r="N231" s="11"/>
      <c r="O231" s="11"/>
      <c r="P231" s="194"/>
      <c r="Q231" s="11"/>
      <c r="R231" s="11"/>
      <c r="S231" s="11"/>
      <c r="T231" s="11"/>
      <c r="U231" s="11"/>
      <c r="V231" s="194"/>
      <c r="W231" s="194"/>
      <c r="X231" s="11"/>
      <c r="Y231" s="194"/>
      <c r="Z231" s="194"/>
      <c r="AA231" s="194"/>
      <c r="AB231" s="194"/>
      <c r="AC231" s="194"/>
      <c r="AD231" s="194"/>
      <c r="AE231" s="11"/>
      <c r="AF231" s="12"/>
      <c r="AG231" s="49">
        <f t="shared" si="29"/>
        <v>0</v>
      </c>
    </row>
    <row r="232" spans="1:33" ht="27" customHeight="1" thickBot="1" x14ac:dyDescent="0.35">
      <c r="A232" s="61" t="s">
        <v>287</v>
      </c>
      <c r="B232" s="188"/>
      <c r="C232" s="11"/>
      <c r="D232" s="11"/>
      <c r="E232" s="11"/>
      <c r="F232" s="11"/>
      <c r="G232" s="11"/>
      <c r="H232" s="11"/>
      <c r="I232" s="194"/>
      <c r="J232" s="11"/>
      <c r="K232" s="11"/>
      <c r="L232" s="11"/>
      <c r="M232" s="11"/>
      <c r="N232" s="11"/>
      <c r="O232" s="11"/>
      <c r="P232" s="194"/>
      <c r="Q232" s="11"/>
      <c r="R232" s="11"/>
      <c r="S232" s="11"/>
      <c r="T232" s="11"/>
      <c r="U232" s="11"/>
      <c r="V232" s="194"/>
      <c r="W232" s="194"/>
      <c r="X232" s="11"/>
      <c r="Y232" s="194"/>
      <c r="Z232" s="194"/>
      <c r="AA232" s="194"/>
      <c r="AB232" s="194"/>
      <c r="AC232" s="194"/>
      <c r="AD232" s="194"/>
      <c r="AE232" s="11"/>
      <c r="AF232" s="12"/>
      <c r="AG232" s="49">
        <f t="shared" si="29"/>
        <v>0</v>
      </c>
    </row>
    <row r="233" spans="1:33" ht="27" customHeight="1" thickBot="1" x14ac:dyDescent="0.35">
      <c r="A233" s="61" t="s">
        <v>288</v>
      </c>
      <c r="B233" s="188"/>
      <c r="C233" s="11"/>
      <c r="D233" s="11"/>
      <c r="E233" s="11"/>
      <c r="F233" s="11"/>
      <c r="G233" s="11"/>
      <c r="H233" s="11"/>
      <c r="I233" s="194"/>
      <c r="J233" s="11"/>
      <c r="K233" s="11"/>
      <c r="L233" s="11"/>
      <c r="M233" s="11"/>
      <c r="N233" s="11"/>
      <c r="O233" s="11"/>
      <c r="P233" s="194"/>
      <c r="Q233" s="11"/>
      <c r="R233" s="11"/>
      <c r="S233" s="11"/>
      <c r="T233" s="11"/>
      <c r="U233" s="11"/>
      <c r="V233" s="194"/>
      <c r="W233" s="194"/>
      <c r="X233" s="11"/>
      <c r="Y233" s="194"/>
      <c r="Z233" s="194"/>
      <c r="AA233" s="194"/>
      <c r="AB233" s="194"/>
      <c r="AC233" s="194"/>
      <c r="AD233" s="194"/>
      <c r="AE233" s="11"/>
      <c r="AF233" s="12"/>
      <c r="AG233" s="49">
        <f t="shared" si="29"/>
        <v>0</v>
      </c>
    </row>
    <row r="234" spans="1:33" ht="27" customHeight="1" thickBot="1" x14ac:dyDescent="0.35">
      <c r="A234" s="61" t="s">
        <v>289</v>
      </c>
      <c r="B234" s="188"/>
      <c r="C234" s="11"/>
      <c r="D234" s="11"/>
      <c r="E234" s="11"/>
      <c r="F234" s="11"/>
      <c r="G234" s="11"/>
      <c r="H234" s="11"/>
      <c r="I234" s="194"/>
      <c r="J234" s="11"/>
      <c r="K234" s="11"/>
      <c r="L234" s="11"/>
      <c r="M234" s="11"/>
      <c r="N234" s="11"/>
      <c r="O234" s="11"/>
      <c r="P234" s="194"/>
      <c r="Q234" s="11"/>
      <c r="R234" s="11"/>
      <c r="S234" s="11"/>
      <c r="T234" s="11"/>
      <c r="U234" s="11"/>
      <c r="V234" s="194"/>
      <c r="W234" s="194"/>
      <c r="X234" s="11"/>
      <c r="Y234" s="194"/>
      <c r="Z234" s="194"/>
      <c r="AA234" s="194"/>
      <c r="AB234" s="194"/>
      <c r="AC234" s="194"/>
      <c r="AD234" s="194"/>
      <c r="AE234" s="11"/>
      <c r="AF234" s="12"/>
      <c r="AG234" s="49">
        <f t="shared" si="29"/>
        <v>0</v>
      </c>
    </row>
    <row r="235" spans="1:33" ht="27" customHeight="1" thickBot="1" x14ac:dyDescent="0.35">
      <c r="A235" s="61" t="s">
        <v>290</v>
      </c>
      <c r="B235" s="188"/>
      <c r="C235" s="11"/>
      <c r="D235" s="11"/>
      <c r="E235" s="11"/>
      <c r="F235" s="11"/>
      <c r="G235" s="11"/>
      <c r="H235" s="11"/>
      <c r="I235" s="194"/>
      <c r="J235" s="11"/>
      <c r="K235" s="11"/>
      <c r="L235" s="11"/>
      <c r="M235" s="11"/>
      <c r="N235" s="11"/>
      <c r="O235" s="11"/>
      <c r="P235" s="194"/>
      <c r="Q235" s="11"/>
      <c r="R235" s="11"/>
      <c r="S235" s="11"/>
      <c r="T235" s="11"/>
      <c r="U235" s="11"/>
      <c r="V235" s="194"/>
      <c r="W235" s="194"/>
      <c r="X235" s="11"/>
      <c r="Y235" s="194"/>
      <c r="Z235" s="194"/>
      <c r="AA235" s="194"/>
      <c r="AB235" s="194"/>
      <c r="AC235" s="194"/>
      <c r="AD235" s="194"/>
      <c r="AE235" s="11"/>
      <c r="AF235" s="12"/>
      <c r="AG235" s="49">
        <f t="shared" si="29"/>
        <v>0</v>
      </c>
    </row>
    <row r="236" spans="1:33" ht="27" customHeight="1" thickBot="1" x14ac:dyDescent="0.35">
      <c r="A236" s="61" t="s">
        <v>291</v>
      </c>
      <c r="B236" s="188"/>
      <c r="C236" s="11"/>
      <c r="D236" s="11"/>
      <c r="E236" s="11"/>
      <c r="F236" s="11"/>
      <c r="G236" s="11"/>
      <c r="H236" s="11"/>
      <c r="I236" s="194"/>
      <c r="J236" s="11"/>
      <c r="K236" s="11"/>
      <c r="L236" s="11"/>
      <c r="M236" s="11"/>
      <c r="N236" s="11"/>
      <c r="O236" s="11"/>
      <c r="P236" s="194"/>
      <c r="Q236" s="11"/>
      <c r="R236" s="11"/>
      <c r="S236" s="11"/>
      <c r="T236" s="11"/>
      <c r="U236" s="11"/>
      <c r="V236" s="194"/>
      <c r="W236" s="194"/>
      <c r="X236" s="11"/>
      <c r="Y236" s="194"/>
      <c r="Z236" s="194"/>
      <c r="AA236" s="194"/>
      <c r="AB236" s="194"/>
      <c r="AC236" s="194"/>
      <c r="AD236" s="194"/>
      <c r="AE236" s="11"/>
      <c r="AF236" s="12"/>
      <c r="AG236" s="49">
        <f t="shared" si="29"/>
        <v>0</v>
      </c>
    </row>
    <row r="237" spans="1:33" ht="27" customHeight="1" thickBot="1" x14ac:dyDescent="0.35">
      <c r="A237" s="61" t="s">
        <v>292</v>
      </c>
      <c r="B237" s="188"/>
      <c r="C237" s="11"/>
      <c r="D237" s="11"/>
      <c r="E237" s="11"/>
      <c r="F237" s="11"/>
      <c r="G237" s="11"/>
      <c r="H237" s="11"/>
      <c r="I237" s="194"/>
      <c r="J237" s="11"/>
      <c r="K237" s="11"/>
      <c r="L237" s="11"/>
      <c r="M237" s="11"/>
      <c r="N237" s="11"/>
      <c r="O237" s="11"/>
      <c r="P237" s="194"/>
      <c r="Q237" s="11"/>
      <c r="R237" s="11"/>
      <c r="S237" s="11"/>
      <c r="T237" s="11"/>
      <c r="U237" s="11"/>
      <c r="V237" s="194"/>
      <c r="W237" s="194"/>
      <c r="X237" s="11"/>
      <c r="Y237" s="194"/>
      <c r="Z237" s="194"/>
      <c r="AA237" s="194"/>
      <c r="AB237" s="194"/>
      <c r="AC237" s="194"/>
      <c r="AD237" s="194"/>
      <c r="AE237" s="11"/>
      <c r="AF237" s="12"/>
      <c r="AG237" s="49">
        <f t="shared" si="29"/>
        <v>0</v>
      </c>
    </row>
    <row r="238" spans="1:33" ht="27" customHeight="1" thickBot="1" x14ac:dyDescent="0.35">
      <c r="A238" s="61" t="s">
        <v>293</v>
      </c>
      <c r="B238" s="188"/>
      <c r="C238" s="11"/>
      <c r="D238" s="11"/>
      <c r="E238" s="11"/>
      <c r="F238" s="11"/>
      <c r="G238" s="11"/>
      <c r="H238" s="11"/>
      <c r="I238" s="194"/>
      <c r="J238" s="11"/>
      <c r="K238" s="11"/>
      <c r="L238" s="11"/>
      <c r="M238" s="11"/>
      <c r="N238" s="11"/>
      <c r="O238" s="11"/>
      <c r="P238" s="194"/>
      <c r="Q238" s="11"/>
      <c r="R238" s="11"/>
      <c r="S238" s="11"/>
      <c r="T238" s="11"/>
      <c r="U238" s="11"/>
      <c r="V238" s="194"/>
      <c r="W238" s="194"/>
      <c r="X238" s="11"/>
      <c r="Y238" s="194"/>
      <c r="Z238" s="194"/>
      <c r="AA238" s="194"/>
      <c r="AB238" s="194"/>
      <c r="AC238" s="194"/>
      <c r="AD238" s="194"/>
      <c r="AE238" s="11"/>
      <c r="AF238" s="12"/>
      <c r="AG238" s="49">
        <f t="shared" si="29"/>
        <v>0</v>
      </c>
    </row>
    <row r="239" spans="1:33" ht="27" customHeight="1" thickBot="1" x14ac:dyDescent="0.35">
      <c r="A239" s="61" t="s">
        <v>294</v>
      </c>
      <c r="B239" s="188"/>
      <c r="C239" s="11"/>
      <c r="D239" s="11"/>
      <c r="E239" s="11"/>
      <c r="F239" s="11"/>
      <c r="G239" s="11"/>
      <c r="H239" s="11"/>
      <c r="I239" s="194"/>
      <c r="J239" s="11"/>
      <c r="K239" s="11"/>
      <c r="L239" s="11"/>
      <c r="M239" s="11"/>
      <c r="N239" s="11"/>
      <c r="O239" s="11"/>
      <c r="P239" s="194"/>
      <c r="Q239" s="11"/>
      <c r="R239" s="11"/>
      <c r="S239" s="11"/>
      <c r="T239" s="11"/>
      <c r="U239" s="11"/>
      <c r="V239" s="194"/>
      <c r="W239" s="194"/>
      <c r="X239" s="11"/>
      <c r="Y239" s="194"/>
      <c r="Z239" s="194"/>
      <c r="AA239" s="194"/>
      <c r="AB239" s="194"/>
      <c r="AC239" s="194"/>
      <c r="AD239" s="194"/>
      <c r="AE239" s="11"/>
      <c r="AF239" s="12"/>
      <c r="AG239" s="49">
        <f t="shared" si="29"/>
        <v>0</v>
      </c>
    </row>
    <row r="240" spans="1:33" ht="27" customHeight="1" thickBot="1" x14ac:dyDescent="0.35">
      <c r="A240" s="61" t="s">
        <v>295</v>
      </c>
      <c r="B240" s="188"/>
      <c r="C240" s="11"/>
      <c r="D240" s="11"/>
      <c r="E240" s="11"/>
      <c r="F240" s="11"/>
      <c r="G240" s="11"/>
      <c r="H240" s="11"/>
      <c r="I240" s="194"/>
      <c r="J240" s="11"/>
      <c r="K240" s="11"/>
      <c r="L240" s="11"/>
      <c r="M240" s="11"/>
      <c r="N240" s="11"/>
      <c r="O240" s="11"/>
      <c r="P240" s="194"/>
      <c r="Q240" s="11"/>
      <c r="R240" s="11"/>
      <c r="S240" s="11"/>
      <c r="T240" s="11"/>
      <c r="U240" s="11"/>
      <c r="V240" s="194"/>
      <c r="W240" s="194"/>
      <c r="X240" s="11"/>
      <c r="Y240" s="194"/>
      <c r="Z240" s="194"/>
      <c r="AA240" s="194"/>
      <c r="AB240" s="194"/>
      <c r="AC240" s="194"/>
      <c r="AD240" s="194"/>
      <c r="AE240" s="11"/>
      <c r="AF240" s="12"/>
      <c r="AG240" s="49">
        <f t="shared" si="29"/>
        <v>0</v>
      </c>
    </row>
    <row r="241" spans="1:33" ht="27" customHeight="1" thickBot="1" x14ac:dyDescent="0.35">
      <c r="A241" s="61" t="s">
        <v>296</v>
      </c>
      <c r="B241" s="188"/>
      <c r="C241" s="11"/>
      <c r="D241" s="11"/>
      <c r="E241" s="11"/>
      <c r="F241" s="11"/>
      <c r="G241" s="11"/>
      <c r="H241" s="11"/>
      <c r="I241" s="194"/>
      <c r="J241" s="11"/>
      <c r="K241" s="11"/>
      <c r="L241" s="11"/>
      <c r="M241" s="11"/>
      <c r="N241" s="11"/>
      <c r="O241" s="11"/>
      <c r="P241" s="194"/>
      <c r="Q241" s="11"/>
      <c r="R241" s="11"/>
      <c r="S241" s="11"/>
      <c r="T241" s="11"/>
      <c r="U241" s="11"/>
      <c r="V241" s="194"/>
      <c r="W241" s="194"/>
      <c r="X241" s="11"/>
      <c r="Y241" s="194"/>
      <c r="Z241" s="194"/>
      <c r="AA241" s="194"/>
      <c r="AB241" s="194"/>
      <c r="AC241" s="194"/>
      <c r="AD241" s="194"/>
      <c r="AE241" s="11"/>
      <c r="AF241" s="12"/>
      <c r="AG241" s="49">
        <f t="shared" si="29"/>
        <v>0</v>
      </c>
    </row>
    <row r="242" spans="1:33" ht="27" customHeight="1" thickBot="1" x14ac:dyDescent="0.35">
      <c r="A242" s="62" t="s">
        <v>297</v>
      </c>
      <c r="B242" s="195"/>
      <c r="C242" s="23"/>
      <c r="D242" s="23"/>
      <c r="E242" s="23"/>
      <c r="F242" s="23"/>
      <c r="G242" s="23"/>
      <c r="H242" s="23"/>
      <c r="I242" s="202"/>
      <c r="J242" s="23"/>
      <c r="K242" s="23"/>
      <c r="L242" s="23"/>
      <c r="M242" s="23"/>
      <c r="N242" s="23"/>
      <c r="O242" s="23"/>
      <c r="P242" s="202"/>
      <c r="Q242" s="23"/>
      <c r="R242" s="23"/>
      <c r="S242" s="23"/>
      <c r="T242" s="23"/>
      <c r="U242" s="23"/>
      <c r="V242" s="202"/>
      <c r="W242" s="202"/>
      <c r="X242" s="23"/>
      <c r="Y242" s="202"/>
      <c r="Z242" s="202"/>
      <c r="AA242" s="202"/>
      <c r="AB242" s="202"/>
      <c r="AC242" s="202"/>
      <c r="AD242" s="202"/>
      <c r="AE242" s="23"/>
      <c r="AF242" s="136"/>
      <c r="AG242" s="49">
        <f t="shared" si="29"/>
        <v>0</v>
      </c>
    </row>
    <row r="243" spans="1:33" ht="27" customHeight="1" thickBot="1" x14ac:dyDescent="0.35">
      <c r="A243" s="46" t="s">
        <v>10</v>
      </c>
      <c r="B243" s="203">
        <f>SUM(B219:B242)</f>
        <v>0</v>
      </c>
      <c r="C243" s="203">
        <f t="shared" ref="C243:AF243" si="30">SUM(C219:C242)</f>
        <v>1</v>
      </c>
      <c r="D243" s="203">
        <f t="shared" si="30"/>
        <v>1</v>
      </c>
      <c r="E243" s="70">
        <f t="shared" si="30"/>
        <v>1</v>
      </c>
      <c r="F243" s="70">
        <f t="shared" si="30"/>
        <v>1</v>
      </c>
      <c r="G243" s="70">
        <f t="shared" si="30"/>
        <v>1</v>
      </c>
      <c r="H243" s="70">
        <f t="shared" si="30"/>
        <v>1</v>
      </c>
      <c r="I243" s="70">
        <f t="shared" si="30"/>
        <v>0</v>
      </c>
      <c r="J243" s="203">
        <f t="shared" si="30"/>
        <v>1</v>
      </c>
      <c r="K243" s="203">
        <f t="shared" si="30"/>
        <v>1</v>
      </c>
      <c r="L243" s="70">
        <f t="shared" si="30"/>
        <v>1</v>
      </c>
      <c r="M243" s="70">
        <f t="shared" si="30"/>
        <v>1</v>
      </c>
      <c r="N243" s="70">
        <f t="shared" si="30"/>
        <v>1</v>
      </c>
      <c r="O243" s="70">
        <f t="shared" si="30"/>
        <v>0</v>
      </c>
      <c r="P243" s="70">
        <f t="shared" si="30"/>
        <v>0</v>
      </c>
      <c r="Q243" s="203">
        <f t="shared" si="30"/>
        <v>1</v>
      </c>
      <c r="R243" s="203">
        <f t="shared" si="30"/>
        <v>1</v>
      </c>
      <c r="S243" s="70">
        <f t="shared" si="30"/>
        <v>1</v>
      </c>
      <c r="T243" s="70">
        <f t="shared" si="30"/>
        <v>1</v>
      </c>
      <c r="U243" s="70">
        <f t="shared" si="30"/>
        <v>1</v>
      </c>
      <c r="V243" s="70">
        <f t="shared" si="30"/>
        <v>0</v>
      </c>
      <c r="W243" s="70">
        <f t="shared" si="30"/>
        <v>0</v>
      </c>
      <c r="X243" s="203">
        <f t="shared" si="30"/>
        <v>0</v>
      </c>
      <c r="Y243" s="203">
        <f t="shared" si="30"/>
        <v>0</v>
      </c>
      <c r="Z243" s="70">
        <f t="shared" si="30"/>
        <v>0</v>
      </c>
      <c r="AA243" s="70">
        <f t="shared" si="30"/>
        <v>0</v>
      </c>
      <c r="AB243" s="70">
        <f t="shared" si="30"/>
        <v>0</v>
      </c>
      <c r="AC243" s="70">
        <f t="shared" si="30"/>
        <v>0</v>
      </c>
      <c r="AD243" s="70">
        <f t="shared" si="30"/>
        <v>0</v>
      </c>
      <c r="AE243" s="203">
        <f t="shared" si="30"/>
        <v>0</v>
      </c>
      <c r="AF243" s="203">
        <f t="shared" si="30"/>
        <v>0</v>
      </c>
      <c r="AG243" s="44">
        <f>SUM(AG219:AG242)</f>
        <v>16</v>
      </c>
    </row>
    <row r="244" spans="1:33" ht="27" customHeight="1" thickBot="1" x14ac:dyDescent="0.3">
      <c r="A244" s="46" t="s">
        <v>186</v>
      </c>
      <c r="B244" s="204">
        <f>SUM(B243,B217,B211,B208,B182,B165,B160,B153,B146,B134,B131,B128,B122,B96,B90,B87,B61,B44,B39,B32,B25,B13,B10,B7)</f>
        <v>4</v>
      </c>
      <c r="C244" s="204">
        <f t="shared" ref="C244:AF244" si="31">SUM(C243,C217,C211,C208,C182,C165,C160,C153,C146,C134,C131,C128,C122,C96,C90,C87,C61,C44,C39,C32,C25,C13,C10,C7)</f>
        <v>23</v>
      </c>
      <c r="D244" s="204">
        <f t="shared" si="31"/>
        <v>23</v>
      </c>
      <c r="E244" s="154">
        <f t="shared" si="31"/>
        <v>22</v>
      </c>
      <c r="F244" s="154">
        <f t="shared" si="31"/>
        <v>22</v>
      </c>
      <c r="G244" s="154">
        <f t="shared" si="31"/>
        <v>24</v>
      </c>
      <c r="H244" s="204">
        <f t="shared" si="31"/>
        <v>10</v>
      </c>
      <c r="I244" s="204">
        <f t="shared" si="31"/>
        <v>4</v>
      </c>
      <c r="J244" s="204">
        <f t="shared" si="31"/>
        <v>23</v>
      </c>
      <c r="K244" s="204">
        <f t="shared" si="31"/>
        <v>20</v>
      </c>
      <c r="L244" s="154">
        <f t="shared" si="31"/>
        <v>24</v>
      </c>
      <c r="M244" s="154">
        <f t="shared" si="31"/>
        <v>22</v>
      </c>
      <c r="N244" s="154">
        <f t="shared" si="31"/>
        <v>24</v>
      </c>
      <c r="O244" s="204">
        <f t="shared" si="31"/>
        <v>9</v>
      </c>
      <c r="P244" s="204">
        <f t="shared" si="31"/>
        <v>4</v>
      </c>
      <c r="Q244" s="204">
        <f t="shared" si="31"/>
        <v>21</v>
      </c>
      <c r="R244" s="204">
        <f t="shared" si="31"/>
        <v>22</v>
      </c>
      <c r="S244" s="154">
        <f t="shared" si="31"/>
        <v>21</v>
      </c>
      <c r="T244" s="154">
        <f t="shared" si="31"/>
        <v>23</v>
      </c>
      <c r="U244" s="154">
        <f t="shared" si="31"/>
        <v>20</v>
      </c>
      <c r="V244" s="204">
        <f t="shared" si="31"/>
        <v>4</v>
      </c>
      <c r="W244" s="204">
        <f t="shared" si="31"/>
        <v>4</v>
      </c>
      <c r="X244" s="204">
        <f t="shared" si="31"/>
        <v>13</v>
      </c>
      <c r="Y244" s="204">
        <f t="shared" si="31"/>
        <v>4</v>
      </c>
      <c r="Z244" s="154">
        <f t="shared" si="31"/>
        <v>4</v>
      </c>
      <c r="AA244" s="154">
        <f t="shared" si="31"/>
        <v>4</v>
      </c>
      <c r="AB244" s="154">
        <f t="shared" si="31"/>
        <v>4</v>
      </c>
      <c r="AC244" s="204">
        <f t="shared" si="31"/>
        <v>4</v>
      </c>
      <c r="AD244" s="204">
        <f t="shared" si="31"/>
        <v>4</v>
      </c>
      <c r="AE244" s="204">
        <f t="shared" si="31"/>
        <v>11</v>
      </c>
      <c r="AF244" s="204">
        <f t="shared" si="31"/>
        <v>11</v>
      </c>
      <c r="AG244" s="172">
        <f>SUM(B244:AF244)</f>
        <v>432</v>
      </c>
    </row>
    <row r="245" spans="1:33" x14ac:dyDescent="0.2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</row>
    <row r="246" spans="1:33" x14ac:dyDescent="0.25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</row>
  </sheetData>
  <sheetProtection formatCells="0" formatColumns="0"/>
  <mergeCells count="26">
    <mergeCell ref="A2:AG2"/>
    <mergeCell ref="A3:AG3"/>
    <mergeCell ref="A123:AG123"/>
    <mergeCell ref="A124:AG124"/>
    <mergeCell ref="A8:AG8"/>
    <mergeCell ref="A11:AG11"/>
    <mergeCell ref="A14:AG14"/>
    <mergeCell ref="A26:AG26"/>
    <mergeCell ref="A33:AG33"/>
    <mergeCell ref="A40:AG40"/>
    <mergeCell ref="A45:AG45"/>
    <mergeCell ref="A62:AG62"/>
    <mergeCell ref="A88:AG88"/>
    <mergeCell ref="A91:AG91"/>
    <mergeCell ref="A97:AG97"/>
    <mergeCell ref="A129:AG129"/>
    <mergeCell ref="A132:AG132"/>
    <mergeCell ref="A135:AG135"/>
    <mergeCell ref="A147:AG147"/>
    <mergeCell ref="A154:AG154"/>
    <mergeCell ref="A218:AG218"/>
    <mergeCell ref="A161:AG161"/>
    <mergeCell ref="A166:AG166"/>
    <mergeCell ref="A183:AG183"/>
    <mergeCell ref="A209:AG209"/>
    <mergeCell ref="A212:AG2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2"/>
  <sheetViews>
    <sheetView topLeftCell="A28" workbookViewId="0">
      <selection activeCell="B14" sqref="B14"/>
    </sheetView>
  </sheetViews>
  <sheetFormatPr defaultRowHeight="15" x14ac:dyDescent="0.25"/>
  <cols>
    <col min="1" max="1" width="4.140625" style="42" bestFit="1" customWidth="1"/>
    <col min="2" max="2" width="24.85546875" style="42" customWidth="1"/>
    <col min="3" max="3" width="12.28515625" style="42" bestFit="1" customWidth="1"/>
    <col min="4" max="4" width="16.28515625" style="42" customWidth="1"/>
    <col min="5" max="5" width="10.28515625" style="42" customWidth="1"/>
    <col min="6" max="6" width="11.140625" style="42" customWidth="1"/>
    <col min="7" max="7" width="10.28515625" style="42" customWidth="1"/>
    <col min="8" max="8" width="11.85546875" style="42" customWidth="1"/>
    <col min="9" max="9" width="16.42578125" style="42" customWidth="1"/>
    <col min="10" max="16384" width="9.140625" style="42"/>
  </cols>
  <sheetData>
    <row r="1" spans="1:9" ht="39" customHeight="1" x14ac:dyDescent="0.25">
      <c r="A1" s="265" t="s">
        <v>82</v>
      </c>
      <c r="B1" s="266"/>
      <c r="C1" s="266"/>
      <c r="D1" s="266"/>
      <c r="E1" s="266"/>
      <c r="F1" s="266"/>
      <c r="G1" s="267"/>
      <c r="H1" s="51" t="s">
        <v>83</v>
      </c>
      <c r="I1" s="22" t="s">
        <v>469</v>
      </c>
    </row>
    <row r="2" spans="1:9" ht="25.5" x14ac:dyDescent="0.25">
      <c r="A2" s="268" t="s">
        <v>84</v>
      </c>
      <c r="B2" s="269"/>
      <c r="C2" s="269"/>
      <c r="D2" s="269"/>
      <c r="E2" s="269"/>
      <c r="F2" s="269"/>
      <c r="G2" s="270"/>
      <c r="H2" s="52" t="s">
        <v>37</v>
      </c>
      <c r="I2" s="52"/>
    </row>
    <row r="3" spans="1:9" ht="31.5" customHeight="1" x14ac:dyDescent="0.25">
      <c r="A3" s="271" t="s">
        <v>85</v>
      </c>
      <c r="B3" s="272"/>
      <c r="C3" s="71"/>
      <c r="D3" s="71"/>
      <c r="E3" s="271" t="s">
        <v>183</v>
      </c>
      <c r="F3" s="272"/>
      <c r="G3" s="271" t="s">
        <v>182</v>
      </c>
      <c r="H3" s="272"/>
      <c r="I3" s="52"/>
    </row>
    <row r="4" spans="1:9" s="105" customFormat="1" ht="45" x14ac:dyDescent="0.25">
      <c r="A4" s="116" t="s">
        <v>133</v>
      </c>
      <c r="B4" s="87" t="s">
        <v>86</v>
      </c>
      <c r="C4" s="87" t="s">
        <v>369</v>
      </c>
      <c r="D4" s="87" t="s">
        <v>368</v>
      </c>
      <c r="E4" s="87" t="s">
        <v>129</v>
      </c>
      <c r="F4" s="87" t="s">
        <v>131</v>
      </c>
      <c r="G4" s="87" t="s">
        <v>130</v>
      </c>
      <c r="H4" s="117" t="s">
        <v>87</v>
      </c>
      <c r="I4" s="87" t="s">
        <v>132</v>
      </c>
    </row>
    <row r="5" spans="1:9" s="105" customFormat="1" ht="30" customHeight="1" x14ac:dyDescent="0.25">
      <c r="A5" s="103" t="s">
        <v>88</v>
      </c>
      <c r="B5" s="93" t="str">
        <f>Vajda!A4</f>
        <v>Láng Emese</v>
      </c>
      <c r="C5" s="93" t="str">
        <f>VLOOKUP(B5,Vajdanévsor!$A$2:$C$107,2,FALSE)</f>
        <v>X2000037</v>
      </c>
      <c r="D5" s="93" t="str">
        <f>VLOOKUP(B5,Vajdanévsor!$A$2:$C$107,3,FALSE)</f>
        <v>U0000030301</v>
      </c>
      <c r="E5" s="92">
        <v>380</v>
      </c>
      <c r="F5" s="93">
        <f>VLOOKUP(B5,Vajda!$A$125:$AG$242,33,FALSE)</f>
        <v>0</v>
      </c>
      <c r="G5" s="94">
        <v>460</v>
      </c>
      <c r="H5" s="104">
        <f>VLOOKUP(B5,Vajda!$A$3:$AG$121,33,FALSE)</f>
        <v>0</v>
      </c>
      <c r="I5" s="94">
        <f>(E5*F5)+(G5*H5)</f>
        <v>0</v>
      </c>
    </row>
    <row r="6" spans="1:9" s="105" customFormat="1" ht="30" customHeight="1" x14ac:dyDescent="0.25">
      <c r="A6" s="103" t="s">
        <v>89</v>
      </c>
      <c r="B6" s="93" t="str">
        <f>Vajda!A5</f>
        <v>Galó Tamás</v>
      </c>
      <c r="C6" s="93" t="str">
        <f>VLOOKUP(B6,Vajdanévsor!$A$2:$C$107,2,FALSE)</f>
        <v>X2000037</v>
      </c>
      <c r="D6" s="93" t="str">
        <f>VLOOKUP(B6,Vajdanévsor!$A$2:$C$107,3,FALSE)</f>
        <v>U0000030301</v>
      </c>
      <c r="E6" s="92">
        <v>380</v>
      </c>
      <c r="F6" s="93">
        <f>VLOOKUP(B6,Vajda!$A$125:$AG$242,33,FALSE)</f>
        <v>0</v>
      </c>
      <c r="G6" s="94">
        <v>460</v>
      </c>
      <c r="H6" s="104">
        <f>VLOOKUP(B6,Vajda!$A$3:$AG$121,33,FALSE)</f>
        <v>0</v>
      </c>
      <c r="I6" s="94">
        <f t="shared" ref="I6:I71" si="0">(E6*F6)+(G6*H6)</f>
        <v>0</v>
      </c>
    </row>
    <row r="7" spans="1:9" s="105" customFormat="1" ht="30" customHeight="1" x14ac:dyDescent="0.25">
      <c r="A7" s="103" t="s">
        <v>90</v>
      </c>
      <c r="B7" s="93" t="str">
        <f>Vajda!A6</f>
        <v>Molnár Pál</v>
      </c>
      <c r="C7" s="93" t="str">
        <f>VLOOKUP(B7,Vajdanévsor!$A$2:$C$107,2,FALSE)</f>
        <v>X2000037</v>
      </c>
      <c r="D7" s="93" t="str">
        <f>VLOOKUP(B7,Vajdanévsor!$A$2:$C$107,3,FALSE)</f>
        <v>U0000030301</v>
      </c>
      <c r="E7" s="92">
        <v>380</v>
      </c>
      <c r="F7" s="93">
        <f>VLOOKUP(B7,Vajda!$A$125:$AG$242,33,FALSE)</f>
        <v>0</v>
      </c>
      <c r="G7" s="94">
        <v>460</v>
      </c>
      <c r="H7" s="104">
        <f>VLOOKUP(B7,Vajda!$A$3:$AG$121,33,FALSE)</f>
        <v>0</v>
      </c>
      <c r="I7" s="94">
        <f t="shared" si="0"/>
        <v>0</v>
      </c>
    </row>
    <row r="8" spans="1:9" s="105" customFormat="1" ht="30" customHeight="1" x14ac:dyDescent="0.25">
      <c r="A8" s="103" t="s">
        <v>91</v>
      </c>
      <c r="B8" s="93" t="str">
        <f>Vajda!A9</f>
        <v>Csire Melinda</v>
      </c>
      <c r="C8" s="93" t="str">
        <f>VLOOKUP(B8,Vajdanévsor!$A$2:$C$107,2,FALSE)</f>
        <v>X2000014</v>
      </c>
      <c r="D8" s="93" t="str">
        <f>VLOOKUP(B8,Vajdanévsor!$A$2:$C$107,3,FALSE)</f>
        <v>U0000030301</v>
      </c>
      <c r="E8" s="92">
        <v>380</v>
      </c>
      <c r="F8" s="93">
        <f>VLOOKUP(B8,Vajda!$A$125:$AG$242,33,FALSE)</f>
        <v>0</v>
      </c>
      <c r="G8" s="94">
        <v>460</v>
      </c>
      <c r="H8" s="104">
        <f>VLOOKUP(B8,Vajda!$A$3:$AG$121,33,FALSE)</f>
        <v>0</v>
      </c>
      <c r="I8" s="94">
        <f t="shared" si="0"/>
        <v>0</v>
      </c>
    </row>
    <row r="9" spans="1:9" s="105" customFormat="1" ht="30" customHeight="1" x14ac:dyDescent="0.25">
      <c r="A9" s="103" t="s">
        <v>134</v>
      </c>
      <c r="B9" s="93" t="str">
        <f>Vajda!A12</f>
        <v>Fülepi Aranka</v>
      </c>
      <c r="C9" s="93" t="str">
        <f>VLOOKUP(B9,Vajdanévsor!$A$2:$C$107,2,FALSE)</f>
        <v>X2100001</v>
      </c>
      <c r="D9" s="93" t="str">
        <f>VLOOKUP(B9,Vajdanévsor!$A$2:$C$107,3,FALSE)</f>
        <v>U0000030301</v>
      </c>
      <c r="E9" s="92">
        <v>380</v>
      </c>
      <c r="F9" s="93">
        <f>VLOOKUP(B9,Vajda!$A$125:$AG$242,33,FALSE)</f>
        <v>0</v>
      </c>
      <c r="G9" s="94">
        <v>460</v>
      </c>
      <c r="H9" s="104">
        <f>VLOOKUP(B9,Vajda!$A$3:$AG$121,33,FALSE)</f>
        <v>0</v>
      </c>
      <c r="I9" s="94">
        <f t="shared" si="0"/>
        <v>0</v>
      </c>
    </row>
    <row r="10" spans="1:9" s="105" customFormat="1" ht="30" customHeight="1" x14ac:dyDescent="0.25">
      <c r="A10" s="103" t="s">
        <v>92</v>
      </c>
      <c r="B10" s="93" t="str">
        <f>Vajda!A15</f>
        <v>Pribelszki András</v>
      </c>
      <c r="C10" s="93" t="str">
        <f>VLOOKUP(B10,Vajdanévsor!$A$2:$C$107,2,FALSE)</f>
        <v>X2000004</v>
      </c>
      <c r="D10" s="93" t="str">
        <f>VLOOKUP(B10,Vajdanévsor!$A$2:$C$107,3,FALSE)</f>
        <v>U0000030301</v>
      </c>
      <c r="E10" s="92">
        <v>380</v>
      </c>
      <c r="F10" s="93">
        <f>VLOOKUP(B10,Vajda!$A$125:$AG$242,33,FALSE)</f>
        <v>17</v>
      </c>
      <c r="G10" s="94">
        <v>460</v>
      </c>
      <c r="H10" s="104">
        <f>VLOOKUP(B10,Vajda!$A$3:$AG$121,33,FALSE)</f>
        <v>0</v>
      </c>
      <c r="I10" s="94">
        <f t="shared" si="0"/>
        <v>6460</v>
      </c>
    </row>
    <row r="11" spans="1:9" s="105" customFormat="1" ht="30" customHeight="1" x14ac:dyDescent="0.25">
      <c r="A11" s="103" t="s">
        <v>93</v>
      </c>
      <c r="B11" s="93" t="s">
        <v>318</v>
      </c>
      <c r="C11" s="93" t="str">
        <f>VLOOKUP(B11,Vajdanévsor!$A$2:$C$107,2,FALSE)</f>
        <v>X2000004</v>
      </c>
      <c r="D11" s="93" t="str">
        <f>VLOOKUP(B11,Vajdanévsor!$A$2:$C$107,3,FALSE)</f>
        <v>U0000030301</v>
      </c>
      <c r="E11" s="92">
        <v>380</v>
      </c>
      <c r="F11" s="93">
        <f>VLOOKUP(B11,Vajda!$A$125:$AG$242,33,FALSE)</f>
        <v>8</v>
      </c>
      <c r="G11" s="94">
        <v>460</v>
      </c>
      <c r="H11" s="104">
        <f>VLOOKUP(B11,Vajda!$A$3:$AG$121,33,FALSE)</f>
        <v>0</v>
      </c>
      <c r="I11" s="94">
        <f t="shared" si="0"/>
        <v>3040</v>
      </c>
    </row>
    <row r="12" spans="1:9" s="105" customFormat="1" ht="30" customHeight="1" x14ac:dyDescent="0.25">
      <c r="A12" s="103" t="s">
        <v>94</v>
      </c>
      <c r="B12" s="93" t="str">
        <f>Vajda!A17</f>
        <v>Valyó András</v>
      </c>
      <c r="C12" s="93" t="str">
        <f>VLOOKUP(B12,Vajdanévsor!$A$2:$C$107,2,FALSE)</f>
        <v>X2000004</v>
      </c>
      <c r="D12" s="93" t="str">
        <f>VLOOKUP(B12,Vajdanévsor!$A$2:$C$107,3,FALSE)</f>
        <v>U0000030301</v>
      </c>
      <c r="E12" s="92">
        <v>380</v>
      </c>
      <c r="F12" s="93">
        <f>VLOOKUP(B12,Vajda!$A$125:$AG$242,33,FALSE)</f>
        <v>0</v>
      </c>
      <c r="G12" s="94">
        <v>460</v>
      </c>
      <c r="H12" s="104">
        <f>VLOOKUP(B12,Vajda!$A$3:$AG$121,33,FALSE)</f>
        <v>0</v>
      </c>
      <c r="I12" s="94">
        <f t="shared" si="0"/>
        <v>0</v>
      </c>
    </row>
    <row r="13" spans="1:9" s="105" customFormat="1" ht="30" customHeight="1" x14ac:dyDescent="0.25">
      <c r="A13" s="103" t="s">
        <v>95</v>
      </c>
      <c r="B13" s="93" t="str">
        <f>Vajda!A18</f>
        <v>Demcsákné Rafaj Veronika</v>
      </c>
      <c r="C13" s="93" t="str">
        <f>VLOOKUP(B13,Vajdanévsor!$A$2:$C$107,2,FALSE)</f>
        <v>X2000004</v>
      </c>
      <c r="D13" s="93" t="str">
        <f>VLOOKUP(B13,Vajdanévsor!$A$2:$C$107,3,FALSE)</f>
        <v>U0000030301</v>
      </c>
      <c r="E13" s="92">
        <v>380</v>
      </c>
      <c r="F13" s="93">
        <f>VLOOKUP(B13,Vajda!$A$125:$AG$242,33,FALSE)</f>
        <v>4</v>
      </c>
      <c r="G13" s="94">
        <v>460</v>
      </c>
      <c r="H13" s="104">
        <f>VLOOKUP(B13,Vajda!$A$3:$AG$121,33,FALSE)</f>
        <v>0</v>
      </c>
      <c r="I13" s="94">
        <f t="shared" si="0"/>
        <v>1520</v>
      </c>
    </row>
    <row r="14" spans="1:9" s="105" customFormat="1" ht="30" customHeight="1" x14ac:dyDescent="0.25">
      <c r="A14" s="103" t="s">
        <v>96</v>
      </c>
      <c r="B14" s="93" t="str">
        <f>Vajda!A19</f>
        <v>Skorka Kitti</v>
      </c>
      <c r="C14" s="93" t="str">
        <f>VLOOKUP(B14,Vajdanévsor!$A$2:$C$107,2,FALSE)</f>
        <v>X2000004</v>
      </c>
      <c r="D14" s="93" t="str">
        <f>VLOOKUP(B14,Vajdanévsor!$A$2:$C$107,3,FALSE)</f>
        <v>U0000030301</v>
      </c>
      <c r="E14" s="92">
        <v>380</v>
      </c>
      <c r="F14" s="93">
        <f>VLOOKUP(B14,Vajda!$A$125:$AG$242,33,FALSE)</f>
        <v>7</v>
      </c>
      <c r="G14" s="94">
        <v>460</v>
      </c>
      <c r="H14" s="104">
        <f>VLOOKUP(B14,Vajda!$A$3:$AG$121,33,FALSE)</f>
        <v>0</v>
      </c>
      <c r="I14" s="94">
        <f t="shared" si="0"/>
        <v>2660</v>
      </c>
    </row>
    <row r="15" spans="1:9" s="105" customFormat="1" ht="30" customHeight="1" x14ac:dyDescent="0.25">
      <c r="A15" s="103" t="s">
        <v>97</v>
      </c>
      <c r="B15" s="93" t="str">
        <f>Vajda!A20</f>
        <v>Cseri Ildikó</v>
      </c>
      <c r="C15" s="93" t="str">
        <f>VLOOKUP(B15,Vajdanévsor!$A$2:$C$107,2,FALSE)</f>
        <v>X2000004</v>
      </c>
      <c r="D15" s="93" t="str">
        <f>VLOOKUP(B15,Vajdanévsor!$A$2:$C$107,3,FALSE)</f>
        <v>U0000030301</v>
      </c>
      <c r="E15" s="92">
        <v>380</v>
      </c>
      <c r="F15" s="93">
        <f>VLOOKUP(B15,Vajda!$A$125:$AG$242,33,FALSE)</f>
        <v>0</v>
      </c>
      <c r="G15" s="94">
        <v>460</v>
      </c>
      <c r="H15" s="104">
        <f>VLOOKUP(B15,Vajda!$A$3:$AG$121,33,FALSE)</f>
        <v>0</v>
      </c>
      <c r="I15" s="94">
        <f t="shared" si="0"/>
        <v>0</v>
      </c>
    </row>
    <row r="16" spans="1:9" s="105" customFormat="1" ht="30" customHeight="1" x14ac:dyDescent="0.25">
      <c r="A16" s="103" t="s">
        <v>98</v>
      </c>
      <c r="B16" s="93" t="str">
        <f>Vajda!A27</f>
        <v>Balatoni Anita</v>
      </c>
      <c r="C16" s="93" t="str">
        <f>VLOOKUP(B16,Vajdanévsor!$A$2:$C$107,2,FALSE)</f>
        <v>X2000010</v>
      </c>
      <c r="D16" s="93" t="str">
        <f>VLOOKUP(B16,Vajdanévsor!$A$2:$C$107,3,FALSE)</f>
        <v>U0000030301</v>
      </c>
      <c r="E16" s="92">
        <v>380</v>
      </c>
      <c r="F16" s="93">
        <f>VLOOKUP(B16,Vajda!$A$125:$AG$242,33,FALSE)</f>
        <v>0</v>
      </c>
      <c r="G16" s="94">
        <v>460</v>
      </c>
      <c r="H16" s="104">
        <f>VLOOKUP(B16,Vajda!$A$3:$AG$121,33,FALSE)</f>
        <v>0</v>
      </c>
      <c r="I16" s="94">
        <f t="shared" si="0"/>
        <v>0</v>
      </c>
    </row>
    <row r="17" spans="1:9" s="105" customFormat="1" ht="30" customHeight="1" x14ac:dyDescent="0.25">
      <c r="A17" s="103" t="s">
        <v>99</v>
      </c>
      <c r="B17" s="93" t="str">
        <f>Vajda!A28</f>
        <v>Erdei Sándorné</v>
      </c>
      <c r="C17" s="93" t="str">
        <f>VLOOKUP(B17,Vajdanévsor!$A$2:$C$107,2,FALSE)</f>
        <v>X2000010</v>
      </c>
      <c r="D17" s="93" t="str">
        <f>VLOOKUP(B17,Vajdanévsor!$A$2:$C$107,3,FALSE)</f>
        <v>U0000030301</v>
      </c>
      <c r="E17" s="92">
        <v>380</v>
      </c>
      <c r="F17" s="93">
        <f>VLOOKUP(B17,Vajda!$A$125:$AG$242,33,FALSE)</f>
        <v>0</v>
      </c>
      <c r="G17" s="94">
        <v>460</v>
      </c>
      <c r="H17" s="104">
        <f>VLOOKUP(B17,Vajda!$A$3:$AG$121,33,FALSE)</f>
        <v>0</v>
      </c>
      <c r="I17" s="94">
        <f t="shared" si="0"/>
        <v>0</v>
      </c>
    </row>
    <row r="18" spans="1:9" s="105" customFormat="1" ht="30" customHeight="1" x14ac:dyDescent="0.25">
      <c r="A18" s="103" t="s">
        <v>100</v>
      </c>
      <c r="B18" s="93" t="str">
        <f>Vajda!A29</f>
        <v>Gazsó László</v>
      </c>
      <c r="C18" s="93" t="str">
        <f>VLOOKUP(B18,Vajdanévsor!$A$2:$C$107,2,FALSE)</f>
        <v>X2000010</v>
      </c>
      <c r="D18" s="93" t="str">
        <f>VLOOKUP(B18,Vajdanévsor!$A$2:$C$107,3,FALSE)</f>
        <v>U0000030301</v>
      </c>
      <c r="E18" s="92">
        <v>380</v>
      </c>
      <c r="F18" s="93">
        <f>VLOOKUP(B18,Vajda!$A$125:$AG$242,33,FALSE)</f>
        <v>9</v>
      </c>
      <c r="G18" s="94">
        <v>460</v>
      </c>
      <c r="H18" s="104">
        <f>VLOOKUP(B18,Vajda!$A$3:$AG$121,33,FALSE)</f>
        <v>0</v>
      </c>
      <c r="I18" s="94">
        <f t="shared" si="0"/>
        <v>3420</v>
      </c>
    </row>
    <row r="19" spans="1:9" s="105" customFormat="1" ht="30" customHeight="1" x14ac:dyDescent="0.25">
      <c r="A19" s="103" t="s">
        <v>101</v>
      </c>
      <c r="B19" s="93" t="str">
        <f>Vajda!A31</f>
        <v>Molnárné Szappanos Ilona T.</v>
      </c>
      <c r="C19" s="93" t="str">
        <f>VLOOKUP(B19,Vajdanévsor!$A$2:$C$107,2,FALSE)</f>
        <v>X2000010</v>
      </c>
      <c r="D19" s="93" t="str">
        <f>VLOOKUP(B19,Vajdanévsor!$A$2:$C$107,3,FALSE)</f>
        <v>U0000030301</v>
      </c>
      <c r="E19" s="92">
        <v>380</v>
      </c>
      <c r="F19" s="93">
        <f>VLOOKUP(B19,Vajda!$A$125:$AG$242,33,FALSE)</f>
        <v>14</v>
      </c>
      <c r="G19" s="94">
        <v>460</v>
      </c>
      <c r="H19" s="104">
        <f>VLOOKUP(B19,Vajda!$A$3:$AG$121,33,FALSE)</f>
        <v>0</v>
      </c>
      <c r="I19" s="94">
        <f t="shared" si="0"/>
        <v>5320</v>
      </c>
    </row>
    <row r="20" spans="1:9" s="105" customFormat="1" ht="30" customHeight="1" x14ac:dyDescent="0.25">
      <c r="A20" s="103" t="s">
        <v>102</v>
      </c>
      <c r="B20" s="93" t="str">
        <f>Vajda!A34</f>
        <v>Kis Gabriella</v>
      </c>
      <c r="C20" s="93" t="str">
        <f>VLOOKUP(B20,Vajdanévsor!$A$2:$C$107,2,FALSE)</f>
        <v>X2000025</v>
      </c>
      <c r="D20" s="93" t="str">
        <f>VLOOKUP(B20,Vajdanévsor!$A$2:$C$107,3,FALSE)</f>
        <v>U0000030301</v>
      </c>
      <c r="E20" s="92">
        <v>380</v>
      </c>
      <c r="F20" s="93">
        <f>VLOOKUP(B20,Vajda!$A$125:$AG$242,33,FALSE)</f>
        <v>18</v>
      </c>
      <c r="G20" s="94">
        <v>460</v>
      </c>
      <c r="H20" s="104">
        <f>VLOOKUP(B20,Vajda!$A$3:$AG$121,33,FALSE)</f>
        <v>0</v>
      </c>
      <c r="I20" s="94">
        <f t="shared" si="0"/>
        <v>6840</v>
      </c>
    </row>
    <row r="21" spans="1:9" s="105" customFormat="1" ht="30" customHeight="1" x14ac:dyDescent="0.25">
      <c r="A21" s="103" t="s">
        <v>103</v>
      </c>
      <c r="B21" s="93" t="str">
        <f>Vajda!A36</f>
        <v>Kiszelné Nyemcsok Edit</v>
      </c>
      <c r="C21" s="93" t="str">
        <f>VLOOKUP(B21,Vajdanévsor!$A$2:$C$107,2,FALSE)</f>
        <v>X2000025</v>
      </c>
      <c r="D21" s="93" t="str">
        <f>VLOOKUP(B21,Vajdanévsor!$A$2:$C$107,3,FALSE)</f>
        <v>U0000030301</v>
      </c>
      <c r="E21" s="92">
        <v>380</v>
      </c>
      <c r="F21" s="93">
        <f>VLOOKUP(B21,Vajda!$A$125:$AG$242,33,FALSE)</f>
        <v>0</v>
      </c>
      <c r="G21" s="94">
        <v>460</v>
      </c>
      <c r="H21" s="104">
        <f>VLOOKUP(B21,Vajda!$A$3:$AG$121,33,FALSE)</f>
        <v>0</v>
      </c>
      <c r="I21" s="94">
        <f t="shared" si="0"/>
        <v>0</v>
      </c>
    </row>
    <row r="22" spans="1:9" s="105" customFormat="1" ht="30" customHeight="1" x14ac:dyDescent="0.25">
      <c r="A22" s="103" t="s">
        <v>104</v>
      </c>
      <c r="B22" s="93" t="str">
        <f>Vajda!A37</f>
        <v>Krajcsiné Petrov Gabriella</v>
      </c>
      <c r="C22" s="93" t="str">
        <f>VLOOKUP(B22,Vajdanévsor!$A$2:$C$107,2,FALSE)</f>
        <v>X2000025</v>
      </c>
      <c r="D22" s="93" t="str">
        <f>VLOOKUP(B22,Vajdanévsor!$A$2:$C$107,3,FALSE)</f>
        <v>U0000030301</v>
      </c>
      <c r="E22" s="92">
        <v>380</v>
      </c>
      <c r="F22" s="93">
        <f>VLOOKUP(B22,Vajda!$A$125:$AG$242,33,FALSE)</f>
        <v>16</v>
      </c>
      <c r="G22" s="94">
        <v>460</v>
      </c>
      <c r="H22" s="104">
        <f>VLOOKUP(B22,Vajda!$A$3:$AG$121,33,FALSE)</f>
        <v>0</v>
      </c>
      <c r="I22" s="94">
        <f t="shared" si="0"/>
        <v>6080</v>
      </c>
    </row>
    <row r="23" spans="1:9" s="105" customFormat="1" ht="30" customHeight="1" x14ac:dyDescent="0.25">
      <c r="A23" s="103" t="s">
        <v>105</v>
      </c>
      <c r="B23" s="93" t="str">
        <f>Vajda!A38</f>
        <v>Stancsikné Hruska Judit</v>
      </c>
      <c r="C23" s="93" t="str">
        <f>VLOOKUP(B23,Vajdanévsor!$A$2:$C$107,2,FALSE)</f>
        <v>X2000025</v>
      </c>
      <c r="D23" s="93" t="str">
        <f>VLOOKUP(B23,Vajdanévsor!$A$2:$C$107,3,FALSE)</f>
        <v>U0000030301</v>
      </c>
      <c r="E23" s="92">
        <v>380</v>
      </c>
      <c r="F23" s="93">
        <f>VLOOKUP(B23,Vajda!$A$125:$AG$242,33,FALSE)</f>
        <v>0</v>
      </c>
      <c r="G23" s="94">
        <v>460</v>
      </c>
      <c r="H23" s="104">
        <f>VLOOKUP(B23,Vajda!$A$3:$AG$121,33,FALSE)</f>
        <v>0</v>
      </c>
      <c r="I23" s="94">
        <f t="shared" si="0"/>
        <v>0</v>
      </c>
    </row>
    <row r="24" spans="1:9" s="105" customFormat="1" ht="30" customHeight="1" x14ac:dyDescent="0.25">
      <c r="A24" s="103" t="s">
        <v>106</v>
      </c>
      <c r="B24" s="93" t="str">
        <f>Vajda!A41</f>
        <v>Boldizsár Beáta</v>
      </c>
      <c r="C24" s="93" t="str">
        <f>VLOOKUP(B24,Vajdanévsor!$A$2:$C$107,2,FALSE)</f>
        <v>X2000012</v>
      </c>
      <c r="D24" s="93" t="str">
        <f>VLOOKUP(B24,Vajdanévsor!$A$2:$C$107,3,FALSE)</f>
        <v>U0000030301</v>
      </c>
      <c r="E24" s="92">
        <v>380</v>
      </c>
      <c r="F24" s="93">
        <f>VLOOKUP(B24,Vajda!$A$125:$AG$242,33,FALSE)</f>
        <v>0</v>
      </c>
      <c r="G24" s="94">
        <v>460</v>
      </c>
      <c r="H24" s="104">
        <f>VLOOKUP(B24,Vajda!$A$3:$AG$121,33,FALSE)</f>
        <v>0</v>
      </c>
      <c r="I24" s="94">
        <f t="shared" si="0"/>
        <v>0</v>
      </c>
    </row>
    <row r="25" spans="1:9" s="105" customFormat="1" ht="30" customHeight="1" x14ac:dyDescent="0.25">
      <c r="A25" s="103" t="s">
        <v>107</v>
      </c>
      <c r="B25" s="93" t="str">
        <f>Vajda!A42</f>
        <v>Erdei Sándor</v>
      </c>
      <c r="C25" s="93" t="str">
        <f>VLOOKUP(B25,Vajdanévsor!$A$2:$C$107,2,FALSE)</f>
        <v>X2000012</v>
      </c>
      <c r="D25" s="93" t="str">
        <f>VLOOKUP(B25,Vajdanévsor!$A$2:$C$107,3,FALSE)</f>
        <v>U0000030301</v>
      </c>
      <c r="E25" s="92">
        <v>380</v>
      </c>
      <c r="F25" s="93">
        <f>VLOOKUP(B25,Vajda!$A$125:$AG$242,33,FALSE)</f>
        <v>20</v>
      </c>
      <c r="G25" s="94">
        <v>460</v>
      </c>
      <c r="H25" s="104">
        <f>VLOOKUP(B25,Vajda!$A$3:$AG$121,33,FALSE)</f>
        <v>0</v>
      </c>
      <c r="I25" s="94">
        <f t="shared" si="0"/>
        <v>7600</v>
      </c>
    </row>
    <row r="26" spans="1:9" s="105" customFormat="1" ht="30" customHeight="1" x14ac:dyDescent="0.25">
      <c r="A26" s="103" t="s">
        <v>108</v>
      </c>
      <c r="B26" s="93" t="str">
        <f>Vajda!A43</f>
        <v>Molnár Andrásné</v>
      </c>
      <c r="C26" s="93" t="str">
        <f>VLOOKUP(B26,Vajdanévsor!$A$2:$C$107,2,FALSE)</f>
        <v>X2000012</v>
      </c>
      <c r="D26" s="93" t="str">
        <f>VLOOKUP(B26,Vajdanévsor!$A$2:$C$107,3,FALSE)</f>
        <v>U0000030301</v>
      </c>
      <c r="E26" s="92">
        <v>380</v>
      </c>
      <c r="F26" s="93">
        <f>VLOOKUP(B26,Vajda!$A$125:$AG$242,33,FALSE)</f>
        <v>11</v>
      </c>
      <c r="G26" s="94">
        <v>460</v>
      </c>
      <c r="H26" s="104">
        <f>VLOOKUP(B26,Vajda!$A$3:$AG$121,33,FALSE)</f>
        <v>0</v>
      </c>
      <c r="I26" s="94">
        <f t="shared" si="0"/>
        <v>4180</v>
      </c>
    </row>
    <row r="27" spans="1:9" s="105" customFormat="1" ht="30" customHeight="1" x14ac:dyDescent="0.25">
      <c r="A27" s="103" t="s">
        <v>109</v>
      </c>
      <c r="B27" s="93" t="str">
        <f>Vajda!A46</f>
        <v>Balogh Kálmán</v>
      </c>
      <c r="C27" s="93" t="str">
        <f>VLOOKUP(B27,Vajdanévsor!$A$2:$C$107,2,FALSE)</f>
        <v>X8800101</v>
      </c>
      <c r="D27" s="93" t="str">
        <f>VLOOKUP(B27,Vajdanévsor!$A$2:$C$107,3,FALSE)</f>
        <v>U0000030301</v>
      </c>
      <c r="E27" s="92">
        <v>380</v>
      </c>
      <c r="F27" s="93">
        <f>VLOOKUP(B27,Vajda!$A$125:$AG$242,33,FALSE)</f>
        <v>31</v>
      </c>
      <c r="G27" s="94">
        <v>460</v>
      </c>
      <c r="H27" s="104">
        <f>VLOOKUP(B27,Vajda!$A$3:$AG$121,33,FALSE)</f>
        <v>0</v>
      </c>
      <c r="I27" s="94">
        <f t="shared" si="0"/>
        <v>11780</v>
      </c>
    </row>
    <row r="28" spans="1:9" s="105" customFormat="1" ht="30" customHeight="1" x14ac:dyDescent="0.25">
      <c r="A28" s="103" t="s">
        <v>110</v>
      </c>
      <c r="B28" s="93" t="str">
        <f>Vajda!A47</f>
        <v>Benei Martina</v>
      </c>
      <c r="C28" s="93" t="str">
        <f>VLOOKUP(B28,Vajdanévsor!$A$2:$C$107,2,FALSE)</f>
        <v>X8800101</v>
      </c>
      <c r="D28" s="93" t="str">
        <f>VLOOKUP(B28,Vajdanévsor!$A$2:$C$107,3,FALSE)</f>
        <v>U0000030301</v>
      </c>
      <c r="E28" s="92">
        <v>380</v>
      </c>
      <c r="F28" s="93">
        <f>VLOOKUP(B28,Vajda!$A$125:$AG$242,33,FALSE)</f>
        <v>0</v>
      </c>
      <c r="G28" s="94">
        <v>460</v>
      </c>
      <c r="H28" s="104">
        <f>VLOOKUP(B28,Vajda!$A$3:$AG$121,33,FALSE)</f>
        <v>0</v>
      </c>
      <c r="I28" s="94">
        <f t="shared" si="0"/>
        <v>0</v>
      </c>
    </row>
    <row r="29" spans="1:9" s="105" customFormat="1" ht="30" customHeight="1" x14ac:dyDescent="0.25">
      <c r="A29" s="103" t="s">
        <v>111</v>
      </c>
      <c r="B29" s="93" t="str">
        <f>Vajda!A48</f>
        <v>ifj. Sárkány János</v>
      </c>
      <c r="C29" s="93" t="str">
        <f>VLOOKUP(B29,Vajdanévsor!$A$2:$C$107,2,FALSE)</f>
        <v>X8800101</v>
      </c>
      <c r="D29" s="93" t="str">
        <f>VLOOKUP(B29,Vajdanévsor!$A$2:$C$107,3,FALSE)</f>
        <v>U0000030301</v>
      </c>
      <c r="E29" s="92">
        <v>380</v>
      </c>
      <c r="F29" s="93">
        <f>VLOOKUP(B29,Vajda!$A$125:$AG$242,33,FALSE)</f>
        <v>11</v>
      </c>
      <c r="G29" s="94">
        <v>460</v>
      </c>
      <c r="H29" s="104">
        <f>VLOOKUP(B29,Vajda!$A$3:$AG$121,33,FALSE)</f>
        <v>0</v>
      </c>
      <c r="I29" s="94">
        <f t="shared" si="0"/>
        <v>4180</v>
      </c>
    </row>
    <row r="30" spans="1:9" s="105" customFormat="1" ht="30" customHeight="1" x14ac:dyDescent="0.25">
      <c r="A30" s="103" t="s">
        <v>112</v>
      </c>
      <c r="B30" s="93" t="str">
        <f>Vajda!A49</f>
        <v>Csík Attila</v>
      </c>
      <c r="C30" s="93" t="str">
        <f>VLOOKUP(B30,Vajdanévsor!$A$2:$C$107,2,FALSE)</f>
        <v>X8800101</v>
      </c>
      <c r="D30" s="93" t="str">
        <f>VLOOKUP(B30,Vajdanévsor!$A$2:$C$107,3,FALSE)</f>
        <v>U0000030301</v>
      </c>
      <c r="E30" s="92">
        <v>380</v>
      </c>
      <c r="F30" s="93">
        <f>VLOOKUP(B30,Vajda!$A$125:$AG$242,33,FALSE)</f>
        <v>31</v>
      </c>
      <c r="G30" s="94">
        <v>460</v>
      </c>
      <c r="H30" s="104">
        <f>VLOOKUP(B30,Vajda!$A$3:$AG$121,33,FALSE)</f>
        <v>0</v>
      </c>
      <c r="I30" s="94">
        <f t="shared" si="0"/>
        <v>11780</v>
      </c>
    </row>
    <row r="31" spans="1:9" s="105" customFormat="1" ht="30" customHeight="1" x14ac:dyDescent="0.25">
      <c r="A31" s="103" t="s">
        <v>113</v>
      </c>
      <c r="B31" s="93" t="str">
        <f>Vajda!A51</f>
        <v>Harmati Pál</v>
      </c>
      <c r="C31" s="93" t="str">
        <f>VLOOKUP(B31,Vajdanévsor!$A$2:$C$107,2,FALSE)</f>
        <v>X8800101</v>
      </c>
      <c r="D31" s="93" t="str">
        <f>VLOOKUP(B31,Vajdanévsor!$A$2:$C$107,3,FALSE)</f>
        <v>U0000030301</v>
      </c>
      <c r="E31" s="92">
        <v>380</v>
      </c>
      <c r="F31" s="93">
        <f>VLOOKUP(B31,Vajda!$A$125:$AG$242,33,FALSE)</f>
        <v>0</v>
      </c>
      <c r="G31" s="94">
        <v>460</v>
      </c>
      <c r="H31" s="104">
        <f>VLOOKUP(B31,Vajda!$A$3:$AG$121,33,FALSE)</f>
        <v>0</v>
      </c>
      <c r="I31" s="94">
        <f t="shared" si="0"/>
        <v>0</v>
      </c>
    </row>
    <row r="32" spans="1:9" s="105" customFormat="1" ht="30" customHeight="1" x14ac:dyDescent="0.25">
      <c r="A32" s="103" t="s">
        <v>114</v>
      </c>
      <c r="B32" s="93" t="str">
        <f>Vajda!A52</f>
        <v>Laurik József</v>
      </c>
      <c r="C32" s="93" t="str">
        <f>VLOOKUP(B32,Vajdanévsor!$A$2:$C$107,2,FALSE)</f>
        <v>X8800101</v>
      </c>
      <c r="D32" s="93" t="str">
        <f>VLOOKUP(B32,Vajdanévsor!$A$2:$C$107,3,FALSE)</f>
        <v>U0000030301</v>
      </c>
      <c r="E32" s="92">
        <v>380</v>
      </c>
      <c r="F32" s="93">
        <f>VLOOKUP(B32,Vajda!$A$125:$AG$242,33,FALSE)</f>
        <v>0</v>
      </c>
      <c r="G32" s="94">
        <v>460</v>
      </c>
      <c r="H32" s="104">
        <f>VLOOKUP(B32,Vajda!$A$3:$AG$121,33,FALSE)</f>
        <v>0</v>
      </c>
      <c r="I32" s="94">
        <f t="shared" si="0"/>
        <v>0</v>
      </c>
    </row>
    <row r="33" spans="1:9" s="105" customFormat="1" ht="30" customHeight="1" x14ac:dyDescent="0.25">
      <c r="A33" s="103" t="s">
        <v>115</v>
      </c>
      <c r="B33" s="93" t="str">
        <f>Vajda!A53</f>
        <v>Lázár Zsolt</v>
      </c>
      <c r="C33" s="93" t="str">
        <f>VLOOKUP(B33,Vajdanévsor!$A$2:$C$107,2,FALSE)</f>
        <v>X8800101</v>
      </c>
      <c r="D33" s="93" t="str">
        <f>VLOOKUP(B33,Vajdanévsor!$A$2:$C$107,3,FALSE)</f>
        <v>U0000030301</v>
      </c>
      <c r="E33" s="92">
        <v>380</v>
      </c>
      <c r="F33" s="93">
        <f>VLOOKUP(B33,Vajda!$A$125:$AG$242,33,FALSE)</f>
        <v>0</v>
      </c>
      <c r="G33" s="94">
        <v>460</v>
      </c>
      <c r="H33" s="104">
        <f>VLOOKUP(B33,Vajda!$A$3:$AG$121,33,FALSE)</f>
        <v>0</v>
      </c>
      <c r="I33" s="94">
        <f t="shared" si="0"/>
        <v>0</v>
      </c>
    </row>
    <row r="34" spans="1:9" s="105" customFormat="1" ht="30" customHeight="1" x14ac:dyDescent="0.25">
      <c r="A34" s="103" t="s">
        <v>116</v>
      </c>
      <c r="B34" s="93" t="str">
        <f>Vajda!A54</f>
        <v>Medvegy Julianna</v>
      </c>
      <c r="C34" s="93" t="str">
        <f>VLOOKUP(B34,Vajdanévsor!$A$2:$C$107,2,FALSE)</f>
        <v>X8800101</v>
      </c>
      <c r="D34" s="93" t="str">
        <f>VLOOKUP(B34,Vajdanévsor!$A$2:$C$107,3,FALSE)</f>
        <v>U0000030301</v>
      </c>
      <c r="E34" s="92">
        <v>380</v>
      </c>
      <c r="F34" s="93">
        <f>VLOOKUP(B34,Vajda!$A$125:$AG$242,33,FALSE)</f>
        <v>0</v>
      </c>
      <c r="G34" s="94">
        <v>460</v>
      </c>
      <c r="H34" s="104">
        <f>VLOOKUP(B34,Vajda!$A$3:$AG$121,33,FALSE)</f>
        <v>0</v>
      </c>
      <c r="I34" s="94">
        <f t="shared" si="0"/>
        <v>0</v>
      </c>
    </row>
    <row r="35" spans="1:9" s="105" customFormat="1" ht="30" customHeight="1" x14ac:dyDescent="0.25">
      <c r="A35" s="103" t="s">
        <v>117</v>
      </c>
      <c r="B35" s="93" t="str">
        <f>Vajda!A55</f>
        <v>Portik Andrea</v>
      </c>
      <c r="C35" s="93" t="str">
        <f>VLOOKUP(B35,Vajdanévsor!$A$2:$C$107,2,FALSE)</f>
        <v>X8800101</v>
      </c>
      <c r="D35" s="93" t="str">
        <f>VLOOKUP(B35,Vajdanévsor!$A$2:$C$107,3,FALSE)</f>
        <v>U0000030301</v>
      </c>
      <c r="E35" s="92">
        <v>380</v>
      </c>
      <c r="F35" s="93">
        <f>VLOOKUP(B35,Vajda!$A$125:$AG$242,33,FALSE)</f>
        <v>16</v>
      </c>
      <c r="G35" s="94">
        <v>460</v>
      </c>
      <c r="H35" s="104">
        <f>VLOOKUP(B35,Vajda!$A$3:$AG$121,33,FALSE)</f>
        <v>0</v>
      </c>
      <c r="I35" s="94">
        <f t="shared" si="0"/>
        <v>6080</v>
      </c>
    </row>
    <row r="36" spans="1:9" s="105" customFormat="1" ht="30" customHeight="1" x14ac:dyDescent="0.25">
      <c r="A36" s="103" t="s">
        <v>118</v>
      </c>
      <c r="B36" s="93" t="str">
        <f>Vajda!A56</f>
        <v>Sárkány János</v>
      </c>
      <c r="C36" s="93" t="str">
        <f>VLOOKUP(B36,Vajdanévsor!$A$2:$C$107,2,FALSE)</f>
        <v>X8800101</v>
      </c>
      <c r="D36" s="93" t="str">
        <f>VLOOKUP(B36,Vajdanévsor!$A$2:$C$107,3,FALSE)</f>
        <v>U0000030301</v>
      </c>
      <c r="E36" s="92">
        <v>380</v>
      </c>
      <c r="F36" s="93">
        <f>VLOOKUP(B36,Vajda!$A$125:$AG$242,33,FALSE)</f>
        <v>20</v>
      </c>
      <c r="G36" s="94">
        <v>460</v>
      </c>
      <c r="H36" s="104">
        <f>VLOOKUP(B36,Vajda!$A$3:$AG$121,33,FALSE)</f>
        <v>0</v>
      </c>
      <c r="I36" s="94">
        <f t="shared" si="0"/>
        <v>7600</v>
      </c>
    </row>
    <row r="37" spans="1:9" s="105" customFormat="1" ht="30" customHeight="1" x14ac:dyDescent="0.25">
      <c r="A37" s="103" t="s">
        <v>119</v>
      </c>
      <c r="B37" s="93" t="str">
        <f>Vajda!A57</f>
        <v>Sindely Imréné</v>
      </c>
      <c r="C37" s="93" t="str">
        <f>VLOOKUP(B37,Vajdanévsor!$A$2:$C$107,2,FALSE)</f>
        <v>X8800101</v>
      </c>
      <c r="D37" s="93" t="str">
        <f>VLOOKUP(B37,Vajdanévsor!$A$2:$C$107,3,FALSE)</f>
        <v>U0000030301</v>
      </c>
      <c r="E37" s="92">
        <v>380</v>
      </c>
      <c r="F37" s="93">
        <f>VLOOKUP(B37,Vajda!$A$125:$AG$242,33,FALSE)</f>
        <v>0</v>
      </c>
      <c r="G37" s="94">
        <v>460</v>
      </c>
      <c r="H37" s="104">
        <f>VLOOKUP(B37,Vajda!$A$3:$AG$121,33,FALSE)</f>
        <v>0</v>
      </c>
      <c r="I37" s="94">
        <f t="shared" si="0"/>
        <v>0</v>
      </c>
    </row>
    <row r="38" spans="1:9" s="105" customFormat="1" ht="30" customHeight="1" x14ac:dyDescent="0.25">
      <c r="A38" s="103" t="s">
        <v>120</v>
      </c>
      <c r="B38" s="93" t="str">
        <f>Vajda!A58</f>
        <v>Tóthné Tótka Edit</v>
      </c>
      <c r="C38" s="93" t="str">
        <f>VLOOKUP(B38,Vajdanévsor!$A$2:$C$107,2,FALSE)</f>
        <v>X8800101</v>
      </c>
      <c r="D38" s="93" t="str">
        <f>VLOOKUP(B38,Vajdanévsor!$A$2:$C$107,3,FALSE)</f>
        <v>U0000030301</v>
      </c>
      <c r="E38" s="92">
        <v>380</v>
      </c>
      <c r="F38" s="93">
        <f>VLOOKUP(B38,Vajda!$A$125:$AG$242,33,FALSE)</f>
        <v>0</v>
      </c>
      <c r="G38" s="94">
        <v>460</v>
      </c>
      <c r="H38" s="104">
        <f>VLOOKUP(B38,Vajda!$A$3:$AG$121,33,FALSE)</f>
        <v>0</v>
      </c>
      <c r="I38" s="94">
        <f t="shared" si="0"/>
        <v>0</v>
      </c>
    </row>
    <row r="39" spans="1:9" s="105" customFormat="1" ht="30" customHeight="1" x14ac:dyDescent="0.25">
      <c r="A39" s="103" t="s">
        <v>121</v>
      </c>
      <c r="B39" s="93" t="str">
        <f>Vajda!A59</f>
        <v>Túróczi Rudolfné</v>
      </c>
      <c r="C39" s="93" t="str">
        <f>VLOOKUP(B39,Vajdanévsor!$A$2:$C$107,2,FALSE)</f>
        <v>X8800101</v>
      </c>
      <c r="D39" s="93" t="str">
        <f>VLOOKUP(B39,Vajdanévsor!$A$2:$C$107,3,FALSE)</f>
        <v>U0000030301</v>
      </c>
      <c r="E39" s="92">
        <v>380</v>
      </c>
      <c r="F39" s="93">
        <f>VLOOKUP(B39,Vajda!$A$125:$AG$242,33,FALSE)</f>
        <v>0</v>
      </c>
      <c r="G39" s="94">
        <v>460</v>
      </c>
      <c r="H39" s="104">
        <f>VLOOKUP(B39,Vajda!$A$3:$AG$121,33,FALSE)</f>
        <v>0</v>
      </c>
      <c r="I39" s="94">
        <f t="shared" si="0"/>
        <v>0</v>
      </c>
    </row>
    <row r="40" spans="1:9" s="105" customFormat="1" ht="30" customHeight="1" x14ac:dyDescent="0.25">
      <c r="A40" s="103" t="s">
        <v>122</v>
      </c>
      <c r="B40" s="93" t="str">
        <f>Vajda!A60</f>
        <v>Varga Katalin</v>
      </c>
      <c r="C40" s="93" t="str">
        <f>VLOOKUP(B40,Vajdanévsor!$A$2:$C$107,2,FALSE)</f>
        <v>X8800101</v>
      </c>
      <c r="D40" s="93" t="str">
        <f>VLOOKUP(B40,Vajdanévsor!$A$2:$C$107,3,FALSE)</f>
        <v>U0000030301</v>
      </c>
      <c r="E40" s="92">
        <v>380</v>
      </c>
      <c r="F40" s="93">
        <f>VLOOKUP(B40,Vajda!$A$125:$AG$242,33,FALSE)</f>
        <v>0</v>
      </c>
      <c r="G40" s="94">
        <v>460</v>
      </c>
      <c r="H40" s="104">
        <f>VLOOKUP(B40,Vajda!$A$3:$AG$121,33,FALSE)</f>
        <v>0</v>
      </c>
      <c r="I40" s="94">
        <f t="shared" si="0"/>
        <v>0</v>
      </c>
    </row>
    <row r="41" spans="1:9" s="105" customFormat="1" ht="30" customHeight="1" x14ac:dyDescent="0.25">
      <c r="A41" s="103" t="s">
        <v>123</v>
      </c>
      <c r="B41" s="93" t="str">
        <f>Vajda!A63</f>
        <v>Csaba Csilla</v>
      </c>
      <c r="C41" s="93" t="str">
        <f>VLOOKUP(B41,Vajdanévsor!$A$2:$C$107,2,FALSE)</f>
        <v>X2000005</v>
      </c>
      <c r="D41" s="93" t="str">
        <f>VLOOKUP(B41,Vajdanévsor!$A$2:$C$107,3,FALSE)</f>
        <v>U0000030301</v>
      </c>
      <c r="E41" s="92">
        <v>380</v>
      </c>
      <c r="F41" s="93">
        <f>VLOOKUP(B41,Vajda!$A$125:$AG$242,33,FALSE)</f>
        <v>15</v>
      </c>
      <c r="G41" s="94">
        <v>460</v>
      </c>
      <c r="H41" s="104">
        <f>VLOOKUP(B41,Vajda!$A$3:$AG$121,33,FALSE)</f>
        <v>0</v>
      </c>
      <c r="I41" s="94">
        <f t="shared" si="0"/>
        <v>5700</v>
      </c>
    </row>
    <row r="42" spans="1:9" s="105" customFormat="1" ht="30" customHeight="1" x14ac:dyDescent="0.25">
      <c r="A42" s="103" t="s">
        <v>124</v>
      </c>
      <c r="B42" s="93" t="str">
        <f>Vajda!A64</f>
        <v>Csányiné Szarka Ilona</v>
      </c>
      <c r="C42" s="93" t="str">
        <f>VLOOKUP(B42,Vajdanévsor!$A$2:$C$107,2,FALSE)</f>
        <v>X2000005</v>
      </c>
      <c r="D42" s="93" t="str">
        <f>VLOOKUP(B42,Vajdanévsor!$A$2:$C$107,3,FALSE)</f>
        <v>U0000030301</v>
      </c>
      <c r="E42" s="92">
        <v>380</v>
      </c>
      <c r="F42" s="93">
        <f>VLOOKUP(B42,Vajda!$A$125:$AG$242,33,FALSE)</f>
        <v>0</v>
      </c>
      <c r="G42" s="94">
        <v>460</v>
      </c>
      <c r="H42" s="104">
        <f>VLOOKUP(B42,Vajda!$A$3:$AG$121,33,FALSE)</f>
        <v>0</v>
      </c>
      <c r="I42" s="94">
        <f t="shared" si="0"/>
        <v>0</v>
      </c>
    </row>
    <row r="43" spans="1:9" s="105" customFormat="1" ht="30" customHeight="1" x14ac:dyDescent="0.25">
      <c r="A43" s="103" t="s">
        <v>125</v>
      </c>
      <c r="B43" s="93" t="str">
        <f>Vajda!A65</f>
        <v>Desta-Woldie Wond Wossenné</v>
      </c>
      <c r="C43" s="93" t="str">
        <f>VLOOKUP(B43,Vajdanévsor!$A$2:$C$107,2,FALSE)</f>
        <v>X2000005</v>
      </c>
      <c r="D43" s="93" t="str">
        <f>VLOOKUP(B43,Vajdanévsor!$A$2:$C$107,3,FALSE)</f>
        <v>U0000030301</v>
      </c>
      <c r="E43" s="92">
        <v>380</v>
      </c>
      <c r="F43" s="93">
        <f>VLOOKUP(B43,Vajda!$A$125:$AG$242,33,FALSE)</f>
        <v>0</v>
      </c>
      <c r="G43" s="94">
        <v>460</v>
      </c>
      <c r="H43" s="104">
        <f>VLOOKUP(B43,Vajda!$A$3:$AG$121,33,FALSE)</f>
        <v>0</v>
      </c>
      <c r="I43" s="94">
        <f t="shared" si="0"/>
        <v>0</v>
      </c>
    </row>
    <row r="44" spans="1:9" s="105" customFormat="1" ht="30" customHeight="1" x14ac:dyDescent="0.25">
      <c r="A44" s="103" t="s">
        <v>126</v>
      </c>
      <c r="B44" s="93" t="str">
        <f>Vajda!A66</f>
        <v>Farkas Józsefné</v>
      </c>
      <c r="C44" s="93" t="str">
        <f>VLOOKUP(B44,Vajdanévsor!$A$2:$C$107,2,FALSE)</f>
        <v>X2000005</v>
      </c>
      <c r="D44" s="93" t="str">
        <f>VLOOKUP(B44,Vajdanévsor!$A$2:$C$107,3,FALSE)</f>
        <v>U0000030301</v>
      </c>
      <c r="E44" s="92">
        <v>380</v>
      </c>
      <c r="F44" s="93">
        <f>VLOOKUP(B44,Vajda!$A$125:$AG$242,33,FALSE)</f>
        <v>0</v>
      </c>
      <c r="G44" s="94">
        <v>460</v>
      </c>
      <c r="H44" s="104">
        <f>VLOOKUP(B44,Vajda!$A$3:$AG$121,33,FALSE)</f>
        <v>0</v>
      </c>
      <c r="I44" s="94">
        <f t="shared" si="0"/>
        <v>0</v>
      </c>
    </row>
    <row r="45" spans="1:9" s="105" customFormat="1" ht="30" customHeight="1" x14ac:dyDescent="0.25">
      <c r="A45" s="103" t="s">
        <v>135</v>
      </c>
      <c r="B45" s="93" t="str">
        <f>Vajda!A67</f>
        <v>Franyó Angéla</v>
      </c>
      <c r="C45" s="93" t="str">
        <f>VLOOKUP(B45,Vajdanévsor!$A$2:$C$107,2,FALSE)</f>
        <v>X2000005</v>
      </c>
      <c r="D45" s="93" t="str">
        <f>VLOOKUP(B45,Vajdanévsor!$A$2:$C$107,3,FALSE)</f>
        <v>U0000030301</v>
      </c>
      <c r="E45" s="92">
        <v>380</v>
      </c>
      <c r="F45" s="93">
        <f>VLOOKUP(B45,Vajda!$A$125:$AG$242,33,FALSE)</f>
        <v>0</v>
      </c>
      <c r="G45" s="94">
        <v>460</v>
      </c>
      <c r="H45" s="104">
        <f>VLOOKUP(B45,Vajda!$A$3:$AG$121,33,FALSE)</f>
        <v>0</v>
      </c>
      <c r="I45" s="94">
        <f t="shared" si="0"/>
        <v>0</v>
      </c>
    </row>
    <row r="46" spans="1:9" s="105" customFormat="1" ht="30" customHeight="1" x14ac:dyDescent="0.25">
      <c r="A46" s="103" t="s">
        <v>136</v>
      </c>
      <c r="B46" s="93" t="s">
        <v>453</v>
      </c>
      <c r="C46" s="93" t="str">
        <f>VLOOKUP(B46,Vajdanévsor!$A$2:$C$107,2,FALSE)</f>
        <v>X2000010</v>
      </c>
      <c r="D46" s="93" t="str">
        <f>VLOOKUP(B46,Vajdanévsor!$A$2:$C$107,3,FALSE)</f>
        <v>U0000030301</v>
      </c>
      <c r="E46" s="92">
        <v>380</v>
      </c>
      <c r="F46" s="93">
        <f>VLOOKUP(B46,Vajda!$A$125:$AG$242,33,FALSE)</f>
        <v>15</v>
      </c>
      <c r="G46" s="94">
        <v>460</v>
      </c>
      <c r="H46" s="104">
        <f>VLOOKUP(B46,Vajda!$A$3:$AG$121,33,FALSE)</f>
        <v>0</v>
      </c>
      <c r="I46" s="94">
        <f t="shared" si="0"/>
        <v>5700</v>
      </c>
    </row>
    <row r="47" spans="1:9" s="105" customFormat="1" ht="30" customHeight="1" x14ac:dyDescent="0.25">
      <c r="A47" s="103" t="s">
        <v>137</v>
      </c>
      <c r="B47" s="93" t="str">
        <f>Vajda!A68</f>
        <v>Juhosné Czesznak Ágnes</v>
      </c>
      <c r="C47" s="93" t="str">
        <f>VLOOKUP(B47,Vajdanévsor!$A$2:$C$107,2,FALSE)</f>
        <v>X2000005</v>
      </c>
      <c r="D47" s="93" t="str">
        <f>VLOOKUP(B47,Vajdanévsor!$A$2:$C$107,3,FALSE)</f>
        <v>U0000030301</v>
      </c>
      <c r="E47" s="92">
        <v>380</v>
      </c>
      <c r="F47" s="93">
        <f>VLOOKUP(B47,Vajda!$A$125:$AG$242,33,FALSE)</f>
        <v>0</v>
      </c>
      <c r="G47" s="94">
        <v>460</v>
      </c>
      <c r="H47" s="104">
        <f>VLOOKUP(B47,Vajda!$A$3:$AG$121,33,FALSE)</f>
        <v>0</v>
      </c>
      <c r="I47" s="94">
        <f t="shared" si="0"/>
        <v>0</v>
      </c>
    </row>
    <row r="48" spans="1:9" s="105" customFormat="1" ht="30" customHeight="1" x14ac:dyDescent="0.25">
      <c r="A48" s="103" t="s">
        <v>138</v>
      </c>
      <c r="B48" s="93" t="str">
        <f>Vajda!A69</f>
        <v>Lakatos Melinda</v>
      </c>
      <c r="C48" s="93" t="str">
        <f>VLOOKUP(B48,Vajdanévsor!$A$2:$C$107,2,FALSE)</f>
        <v>X2000005</v>
      </c>
      <c r="D48" s="93" t="str">
        <f>VLOOKUP(B48,Vajdanévsor!$A$2:$C$107,3,FALSE)</f>
        <v>U0000030301</v>
      </c>
      <c r="E48" s="92">
        <v>380</v>
      </c>
      <c r="F48" s="93">
        <f>VLOOKUP(B48,Vajda!$A$125:$AG$242,33,FALSE)</f>
        <v>0</v>
      </c>
      <c r="G48" s="94">
        <v>460</v>
      </c>
      <c r="H48" s="104">
        <f>VLOOKUP(B48,Vajda!$A$3:$AG$121,33,FALSE)</f>
        <v>0</v>
      </c>
      <c r="I48" s="94">
        <f t="shared" si="0"/>
        <v>0</v>
      </c>
    </row>
    <row r="49" spans="1:9" s="105" customFormat="1" ht="30" customHeight="1" x14ac:dyDescent="0.25">
      <c r="A49" s="103" t="s">
        <v>139</v>
      </c>
      <c r="B49" s="93" t="str">
        <f>Vajda!A70</f>
        <v>Kozák Csilla</v>
      </c>
      <c r="C49" s="93" t="str">
        <f>VLOOKUP(B49,Vajdanévsor!$A$2:$C$107,2,FALSE)</f>
        <v>X2000005</v>
      </c>
      <c r="D49" s="93" t="str">
        <f>VLOOKUP(B49,Vajdanévsor!$A$2:$C$107,3,FALSE)</f>
        <v>U0000030301</v>
      </c>
      <c r="E49" s="92">
        <v>380</v>
      </c>
      <c r="F49" s="93">
        <f>VLOOKUP(B49,Vajda!$A$125:$AG$242,33,FALSE)</f>
        <v>0</v>
      </c>
      <c r="G49" s="94">
        <v>460</v>
      </c>
      <c r="H49" s="104">
        <f>VLOOKUP(B49,Vajda!$A$3:$AG$121,33,FALSE)</f>
        <v>0</v>
      </c>
      <c r="I49" s="94">
        <f t="shared" si="0"/>
        <v>0</v>
      </c>
    </row>
    <row r="50" spans="1:9" s="105" customFormat="1" ht="30" customHeight="1" x14ac:dyDescent="0.25">
      <c r="A50" s="103" t="s">
        <v>140</v>
      </c>
      <c r="B50" s="93" t="str">
        <f>Vajda!A71</f>
        <v>Kozmáné Krajcsovics Ildikó</v>
      </c>
      <c r="C50" s="93" t="str">
        <f>VLOOKUP(B50,Vajdanévsor!$A$2:$C$107,2,FALSE)</f>
        <v>X2000005</v>
      </c>
      <c r="D50" s="93" t="str">
        <f>VLOOKUP(B50,Vajdanévsor!$A$2:$C$107,3,FALSE)</f>
        <v>U0000030301</v>
      </c>
      <c r="E50" s="92">
        <v>380</v>
      </c>
      <c r="F50" s="93">
        <f>VLOOKUP(B50,Vajda!$A$125:$AG$242,33,FALSE)</f>
        <v>0</v>
      </c>
      <c r="G50" s="94">
        <v>460</v>
      </c>
      <c r="H50" s="104">
        <f>VLOOKUP(B50,Vajda!$A$3:$AG$121,33,FALSE)</f>
        <v>0</v>
      </c>
      <c r="I50" s="94">
        <f t="shared" si="0"/>
        <v>0</v>
      </c>
    </row>
    <row r="51" spans="1:9" s="105" customFormat="1" ht="30" customHeight="1" x14ac:dyDescent="0.25">
      <c r="A51" s="103" t="s">
        <v>141</v>
      </c>
      <c r="B51" s="93" t="str">
        <f>Vajda!A72</f>
        <v>Lestyan Klára</v>
      </c>
      <c r="C51" s="93" t="str">
        <f>VLOOKUP(B51,Vajdanévsor!$A$2:$C$107,2,FALSE)</f>
        <v>X2000005</v>
      </c>
      <c r="D51" s="93" t="str">
        <f>VLOOKUP(B51,Vajdanévsor!$A$2:$C$107,3,FALSE)</f>
        <v>U0000030301</v>
      </c>
      <c r="E51" s="92">
        <v>380</v>
      </c>
      <c r="F51" s="93">
        <f>VLOOKUP(B51,Vajda!$A$125:$AG$242,33,FALSE)</f>
        <v>0</v>
      </c>
      <c r="G51" s="94">
        <v>460</v>
      </c>
      <c r="H51" s="104">
        <f>VLOOKUP(B51,Vajda!$A$3:$AG$121,33,FALSE)</f>
        <v>0</v>
      </c>
      <c r="I51" s="94">
        <f t="shared" si="0"/>
        <v>0</v>
      </c>
    </row>
    <row r="52" spans="1:9" s="105" customFormat="1" ht="30" customHeight="1" x14ac:dyDescent="0.25">
      <c r="A52" s="103" t="s">
        <v>142</v>
      </c>
      <c r="B52" s="93" t="str">
        <f>Vajda!A73</f>
        <v>Máté Tünde</v>
      </c>
      <c r="C52" s="93" t="str">
        <f>VLOOKUP(B52,Vajdanévsor!$A$2:$C$107,2,FALSE)</f>
        <v>X2000005</v>
      </c>
      <c r="D52" s="93" t="str">
        <f>VLOOKUP(B52,Vajdanévsor!$A$2:$C$107,3,FALSE)</f>
        <v>U0000030301</v>
      </c>
      <c r="E52" s="92">
        <v>380</v>
      </c>
      <c r="F52" s="93">
        <f>VLOOKUP(B52,Vajda!$A$125:$AG$242,33,FALSE)</f>
        <v>0</v>
      </c>
      <c r="G52" s="94">
        <v>460</v>
      </c>
      <c r="H52" s="104">
        <f>VLOOKUP(B52,Vajda!$A$3:$AG$121,33,FALSE)</f>
        <v>0</v>
      </c>
      <c r="I52" s="94">
        <f t="shared" si="0"/>
        <v>0</v>
      </c>
    </row>
    <row r="53" spans="1:9" s="105" customFormat="1" ht="30" customHeight="1" x14ac:dyDescent="0.25">
      <c r="A53" s="103" t="s">
        <v>143</v>
      </c>
      <c r="B53" s="93" t="str">
        <f>Vajda!A74</f>
        <v>Molnárné Gulyás Mária</v>
      </c>
      <c r="C53" s="93" t="str">
        <f>VLOOKUP(B53,Vajdanévsor!$A$2:$C$107,2,FALSE)</f>
        <v>X2000005</v>
      </c>
      <c r="D53" s="93" t="str">
        <f>VLOOKUP(B53,Vajdanévsor!$A$2:$C$107,3,FALSE)</f>
        <v>U0000030301</v>
      </c>
      <c r="E53" s="92">
        <v>380</v>
      </c>
      <c r="F53" s="93">
        <f>VLOOKUP(B53,Vajda!$A$125:$AG$242,33,FALSE)</f>
        <v>18</v>
      </c>
      <c r="G53" s="94">
        <v>460</v>
      </c>
      <c r="H53" s="104">
        <f>VLOOKUP(B53,Vajda!$A$3:$AG$121,33,FALSE)</f>
        <v>0</v>
      </c>
      <c r="I53" s="94">
        <f t="shared" si="0"/>
        <v>6840</v>
      </c>
    </row>
    <row r="54" spans="1:9" s="105" customFormat="1" ht="30" customHeight="1" x14ac:dyDescent="0.25">
      <c r="A54" s="103" t="s">
        <v>144</v>
      </c>
      <c r="B54" s="93" t="str">
        <f>Vajda!A75</f>
        <v>Nagy Viktória</v>
      </c>
      <c r="C54" s="93" t="str">
        <f>VLOOKUP(B54,Vajdanévsor!$A$2:$C$107,2,FALSE)</f>
        <v>X2000005</v>
      </c>
      <c r="D54" s="93" t="str">
        <f>VLOOKUP(B54,Vajdanévsor!$A$2:$C$107,3,FALSE)</f>
        <v>U0000030301</v>
      </c>
      <c r="E54" s="92">
        <v>380</v>
      </c>
      <c r="F54" s="93">
        <f>VLOOKUP(B54,Vajda!$A$125:$AG$242,33,FALSE)</f>
        <v>0</v>
      </c>
      <c r="G54" s="94">
        <v>460</v>
      </c>
      <c r="H54" s="104">
        <f>VLOOKUP(B54,Vajda!$A$3:$AG$121,33,FALSE)</f>
        <v>0</v>
      </c>
      <c r="I54" s="94">
        <f t="shared" si="0"/>
        <v>0</v>
      </c>
    </row>
    <row r="55" spans="1:9" s="105" customFormat="1" ht="30" customHeight="1" x14ac:dyDescent="0.25">
      <c r="A55" s="103" t="s">
        <v>145</v>
      </c>
      <c r="B55" s="93" t="str">
        <f>Vajda!A76</f>
        <v>Németh Andrásné</v>
      </c>
      <c r="C55" s="93" t="str">
        <f>VLOOKUP(B55,Vajdanévsor!$A$2:$C$107,2,FALSE)</f>
        <v>X2000005</v>
      </c>
      <c r="D55" s="93" t="str">
        <f>VLOOKUP(B55,Vajdanévsor!$A$2:$C$107,3,FALSE)</f>
        <v>U0000030301</v>
      </c>
      <c r="E55" s="92">
        <v>380</v>
      </c>
      <c r="F55" s="93">
        <f>VLOOKUP(B55,Vajda!$A$125:$AG$242,33,FALSE)</f>
        <v>0</v>
      </c>
      <c r="G55" s="94">
        <v>460</v>
      </c>
      <c r="H55" s="104">
        <f>VLOOKUP(B55,Vajda!$A$3:$AG$121,33,FALSE)</f>
        <v>0</v>
      </c>
      <c r="I55" s="94">
        <f t="shared" si="0"/>
        <v>0</v>
      </c>
    </row>
    <row r="56" spans="1:9" s="105" customFormat="1" ht="30" customHeight="1" x14ac:dyDescent="0.25">
      <c r="A56" s="103" t="s">
        <v>146</v>
      </c>
      <c r="B56" s="93" t="str">
        <f>Vajda!A77</f>
        <v>Oncsik Mihályné</v>
      </c>
      <c r="C56" s="93" t="str">
        <f>VLOOKUP(B56,Vajdanévsor!$A$2:$C$107,2,FALSE)</f>
        <v>X2000005</v>
      </c>
      <c r="D56" s="93" t="str">
        <f>VLOOKUP(B56,Vajdanévsor!$A$2:$C$107,3,FALSE)</f>
        <v>U0000030301</v>
      </c>
      <c r="E56" s="92">
        <v>380</v>
      </c>
      <c r="F56" s="93">
        <f>VLOOKUP(B56,Vajda!$A$125:$AG$242,33,FALSE)</f>
        <v>0</v>
      </c>
      <c r="G56" s="94">
        <v>460</v>
      </c>
      <c r="H56" s="104">
        <f>VLOOKUP(B56,Vajda!$A$3:$AG$121,33,FALSE)</f>
        <v>0</v>
      </c>
      <c r="I56" s="94">
        <f t="shared" si="0"/>
        <v>0</v>
      </c>
    </row>
    <row r="57" spans="1:9" s="105" customFormat="1" ht="30" customHeight="1" x14ac:dyDescent="0.25">
      <c r="A57" s="103" t="s">
        <v>147</v>
      </c>
      <c r="B57" s="93" t="str">
        <f>Vajda!A78</f>
        <v>Palyovné Kovács Erzsébet</v>
      </c>
      <c r="C57" s="93" t="str">
        <f>VLOOKUP(B57,Vajdanévsor!$A$2:$C$107,2,FALSE)</f>
        <v>X2000005</v>
      </c>
      <c r="D57" s="93" t="str">
        <f>VLOOKUP(B57,Vajdanévsor!$A$2:$C$107,3,FALSE)</f>
        <v>U0000030301</v>
      </c>
      <c r="E57" s="92">
        <v>380</v>
      </c>
      <c r="F57" s="93">
        <f>VLOOKUP(B57,Vajda!$A$125:$AG$242,33,FALSE)</f>
        <v>12</v>
      </c>
      <c r="G57" s="94">
        <v>460</v>
      </c>
      <c r="H57" s="104">
        <f>VLOOKUP(B57,Vajda!$A$3:$AG$121,33,FALSE)</f>
        <v>0</v>
      </c>
      <c r="I57" s="94">
        <f t="shared" si="0"/>
        <v>4560</v>
      </c>
    </row>
    <row r="58" spans="1:9" s="105" customFormat="1" ht="30" customHeight="1" x14ac:dyDescent="0.25">
      <c r="A58" s="103" t="s">
        <v>148</v>
      </c>
      <c r="B58" s="93" t="str">
        <f>Vajda!A79</f>
        <v>Petneházi-Kmetykó Brigitta</v>
      </c>
      <c r="C58" s="93" t="str">
        <f>VLOOKUP(B58,Vajdanévsor!$A$2:$C$107,2,FALSE)</f>
        <v>X2000005</v>
      </c>
      <c r="D58" s="93" t="str">
        <f>VLOOKUP(B58,Vajdanévsor!$A$2:$C$107,3,FALSE)</f>
        <v>U0000030301</v>
      </c>
      <c r="E58" s="92">
        <v>380</v>
      </c>
      <c r="F58" s="93">
        <f>VLOOKUP(B58,Vajda!$A$125:$AG$242,33,FALSE)</f>
        <v>0</v>
      </c>
      <c r="G58" s="94">
        <v>460</v>
      </c>
      <c r="H58" s="104">
        <f>VLOOKUP(B58,Vajda!$A$3:$AG$121,33,FALSE)</f>
        <v>0</v>
      </c>
      <c r="I58" s="94">
        <f t="shared" si="0"/>
        <v>0</v>
      </c>
    </row>
    <row r="59" spans="1:9" s="105" customFormat="1" ht="30" customHeight="1" x14ac:dyDescent="0.25">
      <c r="A59" s="103" t="s">
        <v>149</v>
      </c>
      <c r="B59" s="93" t="str">
        <f>Vajda!A80</f>
        <v>Rafael Jenőné</v>
      </c>
      <c r="C59" s="93" t="str">
        <f>VLOOKUP(B59,Vajdanévsor!$A$2:$C$107,2,FALSE)</f>
        <v>X2000005</v>
      </c>
      <c r="D59" s="93" t="str">
        <f>VLOOKUP(B59,Vajdanévsor!$A$2:$C$107,3,FALSE)</f>
        <v>U0000030301</v>
      </c>
      <c r="E59" s="92">
        <v>380</v>
      </c>
      <c r="F59" s="93">
        <f>VLOOKUP(B59,Vajda!$A$125:$AG$242,33,FALSE)</f>
        <v>10</v>
      </c>
      <c r="G59" s="94">
        <v>460</v>
      </c>
      <c r="H59" s="104">
        <f>VLOOKUP(B59,Vajda!$A$3:$AG$121,33,FALSE)</f>
        <v>0</v>
      </c>
      <c r="I59" s="94">
        <f t="shared" si="0"/>
        <v>3800</v>
      </c>
    </row>
    <row r="60" spans="1:9" s="105" customFormat="1" ht="30" customHeight="1" x14ac:dyDescent="0.25">
      <c r="A60" s="103" t="s">
        <v>150</v>
      </c>
      <c r="B60" s="93" t="str">
        <f>Vajda!A81</f>
        <v>Rafaj Pálné</v>
      </c>
      <c r="C60" s="93" t="str">
        <f>VLOOKUP(B60,Vajdanévsor!$A$2:$C$107,2,FALSE)</f>
        <v>X2000005</v>
      </c>
      <c r="D60" s="93" t="str">
        <f>VLOOKUP(B60,Vajdanévsor!$A$2:$C$107,3,FALSE)</f>
        <v>U0000030301</v>
      </c>
      <c r="E60" s="92">
        <v>380</v>
      </c>
      <c r="F60" s="93">
        <f>VLOOKUP(B60,Vajda!$A$125:$AG$242,33,FALSE)</f>
        <v>0</v>
      </c>
      <c r="G60" s="94">
        <v>460</v>
      </c>
      <c r="H60" s="104">
        <f>VLOOKUP(B60,Vajda!$A$3:$AG$121,33,FALSE)</f>
        <v>0</v>
      </c>
      <c r="I60" s="94">
        <f t="shared" si="0"/>
        <v>0</v>
      </c>
    </row>
    <row r="61" spans="1:9" s="105" customFormat="1" ht="30" customHeight="1" x14ac:dyDescent="0.25">
      <c r="A61" s="103" t="s">
        <v>151</v>
      </c>
      <c r="B61" s="93" t="str">
        <f>Vajda!A82</f>
        <v>Szopka Andrásné</v>
      </c>
      <c r="C61" s="93" t="str">
        <f>VLOOKUP(B61,Vajdanévsor!$A$2:$C$107,2,FALSE)</f>
        <v>X2000005</v>
      </c>
      <c r="D61" s="93" t="str">
        <f>VLOOKUP(B61,Vajdanévsor!$A$2:$C$107,3,FALSE)</f>
        <v>U0000030301</v>
      </c>
      <c r="E61" s="92">
        <v>380</v>
      </c>
      <c r="F61" s="93">
        <f>VLOOKUP(B61,Vajda!$A$125:$AG$242,33,FALSE)</f>
        <v>18</v>
      </c>
      <c r="G61" s="94">
        <v>460</v>
      </c>
      <c r="H61" s="104">
        <f>VLOOKUP(B61,Vajda!$A$3:$AG$121,33,FALSE)</f>
        <v>0</v>
      </c>
      <c r="I61" s="94">
        <f t="shared" si="0"/>
        <v>6840</v>
      </c>
    </row>
    <row r="62" spans="1:9" s="105" customFormat="1" ht="30" customHeight="1" x14ac:dyDescent="0.25">
      <c r="A62" s="103" t="s">
        <v>152</v>
      </c>
      <c r="B62" s="93" t="str">
        <f>Vajda!A83</f>
        <v>Sztancsik Pálné</v>
      </c>
      <c r="C62" s="93" t="str">
        <f>VLOOKUP(B62,Vajdanévsor!$A$2:$C$107,2,FALSE)</f>
        <v>X2000005</v>
      </c>
      <c r="D62" s="93" t="str">
        <f>VLOOKUP(B62,Vajdanévsor!$A$2:$C$107,3,FALSE)</f>
        <v>U0000030301</v>
      </c>
      <c r="E62" s="92">
        <v>380</v>
      </c>
      <c r="F62" s="93">
        <f>VLOOKUP(B62,Vajda!$A$125:$AG$242,33,FALSE)</f>
        <v>0</v>
      </c>
      <c r="G62" s="94">
        <v>460</v>
      </c>
      <c r="H62" s="104">
        <f>VLOOKUP(B62,Vajda!$A$3:$AG$121,33,FALSE)</f>
        <v>0</v>
      </c>
      <c r="I62" s="94">
        <f t="shared" si="0"/>
        <v>0</v>
      </c>
    </row>
    <row r="63" spans="1:9" s="105" customFormat="1" ht="30" customHeight="1" x14ac:dyDescent="0.25">
      <c r="A63" s="103" t="s">
        <v>153</v>
      </c>
      <c r="B63" s="93" t="str">
        <f>Vajda!A84</f>
        <v>Tasi Zsuzsanna</v>
      </c>
      <c r="C63" s="93" t="str">
        <f>VLOOKUP(B63,Vajdanévsor!$A$2:$C$107,2,FALSE)</f>
        <v>X2000005</v>
      </c>
      <c r="D63" s="93" t="str">
        <f>VLOOKUP(B63,Vajdanévsor!$A$2:$C$107,3,FALSE)</f>
        <v>U0000030301</v>
      </c>
      <c r="E63" s="92">
        <v>380</v>
      </c>
      <c r="F63" s="93">
        <f>VLOOKUP(B63,Vajda!$A$125:$AG$242,33,FALSE)</f>
        <v>0</v>
      </c>
      <c r="G63" s="94">
        <v>460</v>
      </c>
      <c r="H63" s="104">
        <f>VLOOKUP(B63,Vajda!$A$3:$AG$121,33,FALSE)</f>
        <v>0</v>
      </c>
      <c r="I63" s="94">
        <f t="shared" si="0"/>
        <v>0</v>
      </c>
    </row>
    <row r="64" spans="1:9" s="105" customFormat="1" ht="30" customHeight="1" x14ac:dyDescent="0.25">
      <c r="A64" s="103" t="s">
        <v>154</v>
      </c>
      <c r="B64" s="93" t="str">
        <f>Vajda!A85</f>
        <v>Tóthné Rafael Ágnes</v>
      </c>
      <c r="C64" s="93" t="str">
        <f>VLOOKUP(B64,Vajdanévsor!$A$2:$C$107,2,FALSE)</f>
        <v>X2000005</v>
      </c>
      <c r="D64" s="93" t="str">
        <f>VLOOKUP(B64,Vajdanévsor!$A$2:$C$107,3,FALSE)</f>
        <v>U0000030301</v>
      </c>
      <c r="E64" s="92">
        <v>380</v>
      </c>
      <c r="F64" s="93">
        <f>VLOOKUP(B64,Vajda!$A$125:$AG$242,33,FALSE)</f>
        <v>8</v>
      </c>
      <c r="G64" s="94">
        <v>460</v>
      </c>
      <c r="H64" s="104">
        <f>VLOOKUP(B64,Vajda!$A$3:$AG$121,33,FALSE)</f>
        <v>0</v>
      </c>
      <c r="I64" s="94">
        <f t="shared" si="0"/>
        <v>3040</v>
      </c>
    </row>
    <row r="65" spans="1:9" s="105" customFormat="1" ht="30" customHeight="1" x14ac:dyDescent="0.25">
      <c r="A65" s="103" t="s">
        <v>155</v>
      </c>
      <c r="B65" s="93" t="str">
        <f>Vajda!A86</f>
        <v>Zahorecz Nóra Angéla</v>
      </c>
      <c r="C65" s="93" t="str">
        <f>VLOOKUP(B65,Vajdanévsor!$A$2:$C$107,2,FALSE)</f>
        <v>X2000005</v>
      </c>
      <c r="D65" s="93" t="str">
        <f>VLOOKUP(B65,Vajdanévsor!$A$2:$C$107,3,FALSE)</f>
        <v>U0000030301</v>
      </c>
      <c r="E65" s="92">
        <v>380</v>
      </c>
      <c r="F65" s="93">
        <f>VLOOKUP(B65,Vajda!$A$125:$AG$242,33,FALSE)</f>
        <v>0</v>
      </c>
      <c r="G65" s="94">
        <v>460</v>
      </c>
      <c r="H65" s="104">
        <f>VLOOKUP(B65,Vajda!$A$3:$AG$121,33,FALSE)</f>
        <v>0</v>
      </c>
      <c r="I65" s="94">
        <f t="shared" si="0"/>
        <v>0</v>
      </c>
    </row>
    <row r="66" spans="1:9" s="105" customFormat="1" ht="30" customHeight="1" x14ac:dyDescent="0.25">
      <c r="A66" s="103" t="s">
        <v>156</v>
      </c>
      <c r="B66" s="93" t="str">
        <f>Vajda!A89</f>
        <v>Gellai Violetta</v>
      </c>
      <c r="C66" s="93" t="str">
        <f>VLOOKUP(B66,Vajdanévsor!$A$2:$C$107,2,FALSE)</f>
        <v>X2000006</v>
      </c>
      <c r="D66" s="93" t="str">
        <f>VLOOKUP(B66,Vajdanévsor!$A$2:$C$107,3,FALSE)</f>
        <v>U0000030301</v>
      </c>
      <c r="E66" s="92">
        <v>380</v>
      </c>
      <c r="F66" s="93">
        <f>VLOOKUP(B66,Vajda!$A$125:$AG$242,33,FALSE)</f>
        <v>0</v>
      </c>
      <c r="G66" s="94">
        <v>460</v>
      </c>
      <c r="H66" s="104">
        <f>VLOOKUP(B66,Vajda!$A$3:$AG$121,33,FALSE)</f>
        <v>0</v>
      </c>
      <c r="I66" s="94">
        <f t="shared" si="0"/>
        <v>0</v>
      </c>
    </row>
    <row r="67" spans="1:9" s="105" customFormat="1" ht="30" customHeight="1" x14ac:dyDescent="0.25">
      <c r="A67" s="103" t="s">
        <v>157</v>
      </c>
      <c r="B67" s="93" t="str">
        <f>Vajda!A92</f>
        <v>Oncsik János</v>
      </c>
      <c r="C67" s="93" t="str">
        <f>VLOOKUP(B67,Vajdanévsor!$A$2:$C$107,2,FALSE)</f>
        <v>X2000026</v>
      </c>
      <c r="D67" s="93" t="str">
        <f>VLOOKUP(B67,Vajdanévsor!$A$2:$C$107,3,FALSE)</f>
        <v>U0000030301</v>
      </c>
      <c r="E67" s="92">
        <v>380</v>
      </c>
      <c r="F67" s="93">
        <f>VLOOKUP(B67,Vajda!$A$125:$AG$242,33,FALSE)</f>
        <v>0</v>
      </c>
      <c r="G67" s="94">
        <v>460</v>
      </c>
      <c r="H67" s="104">
        <f>VLOOKUP(B67,Vajda!$A$3:$AG$121,33,FALSE)</f>
        <v>0</v>
      </c>
      <c r="I67" s="94">
        <f t="shared" si="0"/>
        <v>0</v>
      </c>
    </row>
    <row r="68" spans="1:9" s="105" customFormat="1" ht="30" customHeight="1" x14ac:dyDescent="0.25">
      <c r="A68" s="103" t="s">
        <v>158</v>
      </c>
      <c r="B68" s="93" t="str">
        <f>Vajda!A93</f>
        <v>Demeter Gabriella</v>
      </c>
      <c r="C68" s="93" t="str">
        <f>VLOOKUP(B68,Vajdanévsor!$A$2:$C$107,2,FALSE)</f>
        <v>X2000026</v>
      </c>
      <c r="D68" s="93" t="str">
        <f>VLOOKUP(B68,Vajdanévsor!$A$2:$C$107,3,FALSE)</f>
        <v>U0000030301</v>
      </c>
      <c r="E68" s="92">
        <v>380</v>
      </c>
      <c r="F68" s="93">
        <f>VLOOKUP(B68,Vajda!$A$125:$AG$242,33,FALSE)</f>
        <v>0</v>
      </c>
      <c r="G68" s="94">
        <v>460</v>
      </c>
      <c r="H68" s="104">
        <f>VLOOKUP(B68,Vajda!$A$3:$AG$121,33,FALSE)</f>
        <v>0</v>
      </c>
      <c r="I68" s="94">
        <f t="shared" si="0"/>
        <v>0</v>
      </c>
    </row>
    <row r="69" spans="1:9" s="105" customFormat="1" ht="30" customHeight="1" x14ac:dyDescent="0.25">
      <c r="A69" s="103" t="s">
        <v>159</v>
      </c>
      <c r="B69" s="93" t="str">
        <f>Vajda!A94</f>
        <v>Dorogi Adrienn</v>
      </c>
      <c r="C69" s="93" t="str">
        <f>VLOOKUP(B69,Vajdanévsor!$A$2:$C$107,2,FALSE)</f>
        <v>X2000026</v>
      </c>
      <c r="D69" s="93" t="str">
        <f>VLOOKUP(B69,Vajdanévsor!$A$2:$C$107,3,FALSE)</f>
        <v>U0000030301</v>
      </c>
      <c r="E69" s="92">
        <v>380</v>
      </c>
      <c r="F69" s="93">
        <f>VLOOKUP(B69,Vajda!$A$125:$AG$242,33,FALSE)</f>
        <v>0</v>
      </c>
      <c r="G69" s="94">
        <v>460</v>
      </c>
      <c r="H69" s="104">
        <f>VLOOKUP(B69,Vajda!$A$3:$AG$121,33,FALSE)</f>
        <v>0</v>
      </c>
      <c r="I69" s="94">
        <f t="shared" si="0"/>
        <v>0</v>
      </c>
    </row>
    <row r="70" spans="1:9" s="105" customFormat="1" ht="30" customHeight="1" x14ac:dyDescent="0.25">
      <c r="A70" s="103" t="s">
        <v>160</v>
      </c>
      <c r="B70" s="93" t="str">
        <f>Vajda!A95</f>
        <v>Koszti Pál Zoltán</v>
      </c>
      <c r="C70" s="93" t="str">
        <f>VLOOKUP(B70,Vajdanévsor!$A$2:$C$107,2,FALSE)</f>
        <v>X2000026</v>
      </c>
      <c r="D70" s="93" t="str">
        <f>VLOOKUP(B70,Vajdanévsor!$A$2:$C$107,3,FALSE)</f>
        <v>U0000030301</v>
      </c>
      <c r="E70" s="92">
        <v>380</v>
      </c>
      <c r="F70" s="93">
        <f>VLOOKUP(B70,Vajda!$A$125:$AG$242,33,FALSE)</f>
        <v>0</v>
      </c>
      <c r="G70" s="94">
        <v>460</v>
      </c>
      <c r="H70" s="104">
        <f>VLOOKUP(B70,Vajda!$A$3:$AG$121,33,FALSE)</f>
        <v>0</v>
      </c>
      <c r="I70" s="94">
        <f t="shared" si="0"/>
        <v>0</v>
      </c>
    </row>
    <row r="71" spans="1:9" s="105" customFormat="1" ht="30" customHeight="1" x14ac:dyDescent="0.25">
      <c r="A71" s="103" t="s">
        <v>161</v>
      </c>
      <c r="B71" s="93" t="str">
        <f>Vajda!A98</f>
        <v>Bánfi András</v>
      </c>
      <c r="C71" s="93" t="str">
        <f>VLOOKUP(B71,Vajdanévsor!$A$2:$C$107,2,FALSE)</f>
        <v>X2000020</v>
      </c>
      <c r="D71" s="93" t="str">
        <f>VLOOKUP(B71,Vajdanévsor!$A$2:$C$107,3,FALSE)</f>
        <v>U0000030301</v>
      </c>
      <c r="E71" s="92">
        <v>380</v>
      </c>
      <c r="F71" s="93">
        <f>VLOOKUP(B71,Vajda!$A$125:$AG$242,33,FALSE)</f>
        <v>0</v>
      </c>
      <c r="G71" s="94">
        <v>460</v>
      </c>
      <c r="H71" s="104">
        <f>VLOOKUP(B71,Vajda!$A$3:$AG$121,33,FALSE)</f>
        <v>0</v>
      </c>
      <c r="I71" s="94">
        <f t="shared" si="0"/>
        <v>0</v>
      </c>
    </row>
    <row r="72" spans="1:9" s="105" customFormat="1" ht="30" customHeight="1" x14ac:dyDescent="0.25">
      <c r="A72" s="103" t="s">
        <v>162</v>
      </c>
      <c r="B72" s="93" t="str">
        <f>Vajda!A99</f>
        <v>Báthori Andrea</v>
      </c>
      <c r="C72" s="93" t="str">
        <f>VLOOKUP(B72,Vajdanévsor!$A$2:$C$107,2,FALSE)</f>
        <v>X2000020</v>
      </c>
      <c r="D72" s="93" t="str">
        <f>VLOOKUP(B72,Vajdanévsor!$A$2:$C$107,3,FALSE)</f>
        <v>U0000030301</v>
      </c>
      <c r="E72" s="92">
        <v>380</v>
      </c>
      <c r="F72" s="93">
        <f>VLOOKUP(B72,Vajda!$A$125:$AG$242,33,FALSE)</f>
        <v>0</v>
      </c>
      <c r="G72" s="94">
        <v>460</v>
      </c>
      <c r="H72" s="104">
        <f>VLOOKUP(B72,Vajda!$A$3:$AG$121,33,FALSE)</f>
        <v>0</v>
      </c>
      <c r="I72" s="94">
        <f t="shared" ref="I72:I97" si="1">(E72*F72)+(G72*H72)</f>
        <v>0</v>
      </c>
    </row>
    <row r="73" spans="1:9" s="105" customFormat="1" ht="30" customHeight="1" x14ac:dyDescent="0.25">
      <c r="A73" s="103" t="s">
        <v>163</v>
      </c>
      <c r="B73" s="93" t="str">
        <f>Vajda!A100</f>
        <v>Blaskó Pálné</v>
      </c>
      <c r="C73" s="93" t="str">
        <f>VLOOKUP(B73,Vajdanévsor!$A$2:$C$107,2,FALSE)</f>
        <v>X2000020</v>
      </c>
      <c r="D73" s="93" t="str">
        <f>VLOOKUP(B73,Vajdanévsor!$A$2:$C$107,3,FALSE)</f>
        <v>U0000030301</v>
      </c>
      <c r="E73" s="92">
        <v>380</v>
      </c>
      <c r="F73" s="93">
        <f>VLOOKUP(B73,Vajda!$A$125:$AG$242,33,FALSE)</f>
        <v>0</v>
      </c>
      <c r="G73" s="94">
        <v>460</v>
      </c>
      <c r="H73" s="104">
        <f>VLOOKUP(B73,Vajda!$A$3:$AG$121,33,FALSE)</f>
        <v>0</v>
      </c>
      <c r="I73" s="94">
        <f t="shared" si="1"/>
        <v>0</v>
      </c>
    </row>
    <row r="74" spans="1:9" s="105" customFormat="1" ht="30" customHeight="1" x14ac:dyDescent="0.25">
      <c r="A74" s="103" t="s">
        <v>164</v>
      </c>
      <c r="B74" s="93" t="str">
        <f>Vajda!A101</f>
        <v>Csícsely-Truczka Tímea</v>
      </c>
      <c r="C74" s="93" t="str">
        <f>VLOOKUP(B74,Vajdanévsor!$A$2:$C$107,2,FALSE)</f>
        <v>X2000020</v>
      </c>
      <c r="D74" s="93" t="str">
        <f>VLOOKUP(B74,Vajdanévsor!$A$2:$C$107,3,FALSE)</f>
        <v>U0000030301</v>
      </c>
      <c r="E74" s="92">
        <v>380</v>
      </c>
      <c r="F74" s="93">
        <f>VLOOKUP(B74,Vajda!$A$125:$AG$242,33,FALSE)</f>
        <v>0</v>
      </c>
      <c r="G74" s="94">
        <v>460</v>
      </c>
      <c r="H74" s="104">
        <f>VLOOKUP(B74,Vajda!$A$3:$AG$121,33,FALSE)</f>
        <v>0</v>
      </c>
      <c r="I74" s="94">
        <f t="shared" si="1"/>
        <v>0</v>
      </c>
    </row>
    <row r="75" spans="1:9" s="105" customFormat="1" ht="30" customHeight="1" x14ac:dyDescent="0.25">
      <c r="A75" s="103" t="s">
        <v>165</v>
      </c>
      <c r="B75" s="93" t="str">
        <f>Vajda!A102</f>
        <v>Fodor Gabriella</v>
      </c>
      <c r="C75" s="93" t="str">
        <f>VLOOKUP(B75,Vajdanévsor!$A$2:$C$107,2,FALSE)</f>
        <v>X2000020</v>
      </c>
      <c r="D75" s="93" t="str">
        <f>VLOOKUP(B75,Vajdanévsor!$A$2:$C$107,3,FALSE)</f>
        <v>U0000030301</v>
      </c>
      <c r="E75" s="92">
        <v>380</v>
      </c>
      <c r="F75" s="93">
        <f>VLOOKUP(B75,Vajda!$A$125:$AG$242,33,FALSE)</f>
        <v>0</v>
      </c>
      <c r="G75" s="94">
        <v>460</v>
      </c>
      <c r="H75" s="104">
        <f>VLOOKUP(B75,Vajda!$A$3:$AG$121,33,FALSE)</f>
        <v>0</v>
      </c>
      <c r="I75" s="94">
        <f t="shared" si="1"/>
        <v>0</v>
      </c>
    </row>
    <row r="76" spans="1:9" s="105" customFormat="1" ht="30" customHeight="1" x14ac:dyDescent="0.25">
      <c r="A76" s="103" t="s">
        <v>166</v>
      </c>
      <c r="B76" s="93" t="str">
        <f>Vajda!A103</f>
        <v>Gombár Lászlóné</v>
      </c>
      <c r="C76" s="93" t="str">
        <f>VLOOKUP(B76,Vajdanévsor!$A$2:$C$107,2,FALSE)</f>
        <v>X2000020</v>
      </c>
      <c r="D76" s="93" t="str">
        <f>VLOOKUP(B76,Vajdanévsor!$A$2:$C$107,3,FALSE)</f>
        <v>U0000030301</v>
      </c>
      <c r="E76" s="92">
        <v>380</v>
      </c>
      <c r="F76" s="93">
        <f>VLOOKUP(B76,Vajda!$A$125:$AG$242,33,FALSE)</f>
        <v>0</v>
      </c>
      <c r="G76" s="94">
        <v>460</v>
      </c>
      <c r="H76" s="104">
        <f>VLOOKUP(B76,Vajda!$A$3:$AG$121,33,FALSE)</f>
        <v>0</v>
      </c>
      <c r="I76" s="94">
        <f t="shared" si="1"/>
        <v>0</v>
      </c>
    </row>
    <row r="77" spans="1:9" s="105" customFormat="1" ht="30" customHeight="1" x14ac:dyDescent="0.25">
      <c r="A77" s="103" t="s">
        <v>167</v>
      </c>
      <c r="B77" s="93" t="str">
        <f>Vajda!A104</f>
        <v>Jurák Andrásné</v>
      </c>
      <c r="C77" s="93" t="str">
        <f>VLOOKUP(B77,Vajdanévsor!$A$2:$C$107,2,FALSE)</f>
        <v>X2000020</v>
      </c>
      <c r="D77" s="93" t="str">
        <f>VLOOKUP(B77,Vajdanévsor!$A$2:$C$107,3,FALSE)</f>
        <v>U0000030301</v>
      </c>
      <c r="E77" s="92">
        <v>380</v>
      </c>
      <c r="F77" s="93">
        <f>VLOOKUP(B77,Vajda!$A$125:$AG$242,33,FALSE)</f>
        <v>0</v>
      </c>
      <c r="G77" s="94">
        <v>460</v>
      </c>
      <c r="H77" s="104">
        <f>VLOOKUP(B77,Vajda!$A$3:$AG$121,33,FALSE)</f>
        <v>0</v>
      </c>
      <c r="I77" s="94">
        <f t="shared" si="1"/>
        <v>0</v>
      </c>
    </row>
    <row r="78" spans="1:9" s="105" customFormat="1" ht="30" customHeight="1" x14ac:dyDescent="0.25">
      <c r="A78" s="103" t="s">
        <v>168</v>
      </c>
      <c r="B78" s="93" t="str">
        <f>Vajda!A105</f>
        <v>Kiszely Tamás</v>
      </c>
      <c r="C78" s="93" t="str">
        <f>VLOOKUP(B78,Vajdanévsor!$A$2:$C$107,2,FALSE)</f>
        <v>X2000020</v>
      </c>
      <c r="D78" s="93" t="str">
        <f>VLOOKUP(B78,Vajdanévsor!$A$2:$C$107,3,FALSE)</f>
        <v>U0000030301</v>
      </c>
      <c r="E78" s="92">
        <v>380</v>
      </c>
      <c r="F78" s="93">
        <f>VLOOKUP(B78,Vajda!$A$125:$AG$242,33,FALSE)</f>
        <v>16</v>
      </c>
      <c r="G78" s="94">
        <v>460</v>
      </c>
      <c r="H78" s="104">
        <f>VLOOKUP(B78,Vajda!$A$3:$AG$121,33,FALSE)</f>
        <v>0</v>
      </c>
      <c r="I78" s="94">
        <f t="shared" si="1"/>
        <v>6080</v>
      </c>
    </row>
    <row r="79" spans="1:9" s="105" customFormat="1" ht="30" customHeight="1" x14ac:dyDescent="0.25">
      <c r="A79" s="103" t="s">
        <v>169</v>
      </c>
      <c r="B79" s="93" t="str">
        <f>Vajda!A106</f>
        <v>Kovács Jánosné</v>
      </c>
      <c r="C79" s="93" t="str">
        <f>VLOOKUP(B79,Vajdanévsor!$A$2:$C$107,2,FALSE)</f>
        <v>X2000020</v>
      </c>
      <c r="D79" s="93" t="str">
        <f>VLOOKUP(B79,Vajdanévsor!$A$2:$C$107,3,FALSE)</f>
        <v>U0000030301</v>
      </c>
      <c r="E79" s="92">
        <v>380</v>
      </c>
      <c r="F79" s="93">
        <f>VLOOKUP(B79,Vajda!$A$125:$AG$242,33,FALSE)</f>
        <v>0</v>
      </c>
      <c r="G79" s="94">
        <v>460</v>
      </c>
      <c r="H79" s="104">
        <f>VLOOKUP(B79,Vajda!$A$3:$AG$121,33,FALSE)</f>
        <v>0</v>
      </c>
      <c r="I79" s="94">
        <f t="shared" si="1"/>
        <v>0</v>
      </c>
    </row>
    <row r="80" spans="1:9" s="105" customFormat="1" ht="30" customHeight="1" x14ac:dyDescent="0.25">
      <c r="A80" s="103" t="s">
        <v>170</v>
      </c>
      <c r="B80" s="93" t="str">
        <f>Vajda!A107</f>
        <v>Krajcsovic Mihályné</v>
      </c>
      <c r="C80" s="93" t="str">
        <f>VLOOKUP(B80,Vajdanévsor!$A$2:$C$107,2,FALSE)</f>
        <v>X2000020</v>
      </c>
      <c r="D80" s="93" t="str">
        <f>VLOOKUP(B80,Vajdanévsor!$A$2:$C$107,3,FALSE)</f>
        <v>U0000030301</v>
      </c>
      <c r="E80" s="92">
        <v>380</v>
      </c>
      <c r="F80" s="93">
        <f>VLOOKUP(B80,Vajda!$A$125:$AG$242,33,FALSE)</f>
        <v>0</v>
      </c>
      <c r="G80" s="94">
        <v>460</v>
      </c>
      <c r="H80" s="104">
        <f>VLOOKUP(B80,Vajda!$A$3:$AG$121,33,FALSE)</f>
        <v>0</v>
      </c>
      <c r="I80" s="94">
        <f t="shared" si="1"/>
        <v>0</v>
      </c>
    </row>
    <row r="81" spans="1:9" s="105" customFormat="1" ht="30" customHeight="1" x14ac:dyDescent="0.25">
      <c r="A81" s="103" t="s">
        <v>171</v>
      </c>
      <c r="B81" s="93" t="str">
        <f>Vajda!A108</f>
        <v>Kunstár Erzsébet</v>
      </c>
      <c r="C81" s="93" t="str">
        <f>VLOOKUP(B81,Vajdanévsor!$A$2:$C$107,2,FALSE)</f>
        <v>X2000020</v>
      </c>
      <c r="D81" s="93" t="str">
        <f>VLOOKUP(B81,Vajdanévsor!$A$2:$C$107,3,FALSE)</f>
        <v>U0000030301</v>
      </c>
      <c r="E81" s="92">
        <v>380</v>
      </c>
      <c r="F81" s="93">
        <f>VLOOKUP(B81,Vajda!$A$125:$AG$242,33,FALSE)</f>
        <v>0</v>
      </c>
      <c r="G81" s="94">
        <v>460</v>
      </c>
      <c r="H81" s="104">
        <f>VLOOKUP(B81,Vajda!$A$3:$AG$121,33,FALSE)</f>
        <v>0</v>
      </c>
      <c r="I81" s="94">
        <f t="shared" si="1"/>
        <v>0</v>
      </c>
    </row>
    <row r="82" spans="1:9" s="105" customFormat="1" ht="30" customHeight="1" x14ac:dyDescent="0.25">
      <c r="A82" s="103" t="s">
        <v>172</v>
      </c>
      <c r="B82" s="93" t="str">
        <f>Vajda!A109</f>
        <v>Molnár György</v>
      </c>
      <c r="C82" s="93" t="str">
        <f>VLOOKUP(B82,Vajdanévsor!$A$2:$C$107,2,FALSE)</f>
        <v>X2000020</v>
      </c>
      <c r="D82" s="93" t="str">
        <f>VLOOKUP(B82,Vajdanévsor!$A$2:$C$107,3,FALSE)</f>
        <v>U0000030301</v>
      </c>
      <c r="E82" s="92">
        <v>380</v>
      </c>
      <c r="F82" s="93">
        <f>VLOOKUP(B82,Vajda!$A$125:$AG$242,33,FALSE)</f>
        <v>0</v>
      </c>
      <c r="G82" s="94">
        <v>460</v>
      </c>
      <c r="H82" s="104">
        <f>VLOOKUP(B82,Vajda!$A$3:$AG$121,33,FALSE)</f>
        <v>0</v>
      </c>
      <c r="I82" s="94">
        <f t="shared" si="1"/>
        <v>0</v>
      </c>
    </row>
    <row r="83" spans="1:9" s="105" customFormat="1" ht="30" customHeight="1" x14ac:dyDescent="0.25">
      <c r="A83" s="103" t="s">
        <v>173</v>
      </c>
      <c r="B83" s="93" t="str">
        <f>Vajda!A110</f>
        <v>Molnár Mihályné</v>
      </c>
      <c r="C83" s="93" t="str">
        <f>VLOOKUP(B83,Vajdanévsor!$A$2:$C$107,2,FALSE)</f>
        <v>X2000020</v>
      </c>
      <c r="D83" s="93" t="str">
        <f>VLOOKUP(B83,Vajdanévsor!$A$2:$C$107,3,FALSE)</f>
        <v>U0000030301</v>
      </c>
      <c r="E83" s="92">
        <v>380</v>
      </c>
      <c r="F83" s="93">
        <f>VLOOKUP(B83,Vajda!$A$125:$AG$242,33,FALSE)</f>
        <v>0</v>
      </c>
      <c r="G83" s="94">
        <v>460</v>
      </c>
      <c r="H83" s="104">
        <f>VLOOKUP(B83,Vajda!$A$3:$AG$121,33,FALSE)</f>
        <v>0</v>
      </c>
      <c r="I83" s="94">
        <f t="shared" si="1"/>
        <v>0</v>
      </c>
    </row>
    <row r="84" spans="1:9" s="105" customFormat="1" ht="30" customHeight="1" x14ac:dyDescent="0.25">
      <c r="A84" s="103" t="s">
        <v>174</v>
      </c>
      <c r="B84" s="93" t="str">
        <f>Vajda!A111</f>
        <v>Nagy Béláné</v>
      </c>
      <c r="C84" s="93" t="str">
        <f>VLOOKUP(B84,Vajdanévsor!$A$2:$C$107,2,FALSE)</f>
        <v>X2000020</v>
      </c>
      <c r="D84" s="93" t="str">
        <f>VLOOKUP(B84,Vajdanévsor!$A$2:$C$107,3,FALSE)</f>
        <v>U0000030301</v>
      </c>
      <c r="E84" s="92">
        <v>380</v>
      </c>
      <c r="F84" s="93">
        <f>VLOOKUP(B84,Vajda!$A$125:$AG$242,33,FALSE)</f>
        <v>0</v>
      </c>
      <c r="G84" s="94">
        <v>460</v>
      </c>
      <c r="H84" s="104">
        <f>VLOOKUP(B84,Vajda!$A$3:$AG$121,33,FALSE)</f>
        <v>0</v>
      </c>
      <c r="I84" s="94">
        <f t="shared" si="1"/>
        <v>0</v>
      </c>
    </row>
    <row r="85" spans="1:9" s="105" customFormat="1" ht="30" customHeight="1" x14ac:dyDescent="0.25">
      <c r="A85" s="103" t="s">
        <v>175</v>
      </c>
      <c r="B85" s="93" t="str">
        <f>Vajda!A112</f>
        <v>Pekárik Istvánné</v>
      </c>
      <c r="C85" s="93" t="str">
        <f>VLOOKUP(B85,Vajdanévsor!$A$2:$C$107,2,FALSE)</f>
        <v>X2000020</v>
      </c>
      <c r="D85" s="93" t="str">
        <f>VLOOKUP(B85,Vajdanévsor!$A$2:$C$107,3,FALSE)</f>
        <v>U0000030301</v>
      </c>
      <c r="E85" s="92">
        <v>380</v>
      </c>
      <c r="F85" s="93">
        <f>VLOOKUP(B85,Vajda!$A$125:$AG$242,33,FALSE)</f>
        <v>0</v>
      </c>
      <c r="G85" s="94">
        <v>460</v>
      </c>
      <c r="H85" s="104">
        <f>VLOOKUP(B85,Vajda!$A$3:$AG$121,33,FALSE)</f>
        <v>0</v>
      </c>
      <c r="I85" s="94">
        <f t="shared" si="1"/>
        <v>0</v>
      </c>
    </row>
    <row r="86" spans="1:9" s="105" customFormat="1" ht="30" customHeight="1" x14ac:dyDescent="0.25">
      <c r="A86" s="103" t="s">
        <v>176</v>
      </c>
      <c r="B86" s="93" t="str">
        <f>Vajda!A113</f>
        <v>Petrovics Sándor</v>
      </c>
      <c r="C86" s="93" t="str">
        <f>VLOOKUP(B86,Vajdanévsor!$A$2:$C$107,2,FALSE)</f>
        <v>X2000020</v>
      </c>
      <c r="D86" s="93" t="str">
        <f>VLOOKUP(B86,Vajdanévsor!$A$2:$C$107,3,FALSE)</f>
        <v>U0000030301</v>
      </c>
      <c r="E86" s="92">
        <v>380</v>
      </c>
      <c r="F86" s="93">
        <f>VLOOKUP(B86,Vajda!$A$125:$AG$242,33,FALSE)</f>
        <v>0</v>
      </c>
      <c r="G86" s="94">
        <v>460</v>
      </c>
      <c r="H86" s="104">
        <f>VLOOKUP(B86,Vajda!$A$3:$AG$121,33,FALSE)</f>
        <v>0</v>
      </c>
      <c r="I86" s="94">
        <f t="shared" si="1"/>
        <v>0</v>
      </c>
    </row>
    <row r="87" spans="1:9" s="105" customFormat="1" ht="30" customHeight="1" x14ac:dyDescent="0.25">
      <c r="A87" s="103" t="s">
        <v>177</v>
      </c>
      <c r="B87" s="93" t="str">
        <f>Vajda!A115</f>
        <v>Tamás Zoltánné</v>
      </c>
      <c r="C87" s="93" t="str">
        <f>VLOOKUP(B87,Vajdanévsor!$A$2:$C$107,2,FALSE)</f>
        <v>X2000020</v>
      </c>
      <c r="D87" s="93" t="str">
        <f>VLOOKUP(B87,Vajdanévsor!$A$2:$C$107,3,FALSE)</f>
        <v>U0000030301</v>
      </c>
      <c r="E87" s="92">
        <v>380</v>
      </c>
      <c r="F87" s="93">
        <f>VLOOKUP(B87,Vajda!$A$125:$AG$242,33,FALSE)</f>
        <v>0</v>
      </c>
      <c r="G87" s="94">
        <v>460</v>
      </c>
      <c r="H87" s="104">
        <f>VLOOKUP(B87,Vajda!$A$3:$AG$121,33,FALSE)</f>
        <v>0</v>
      </c>
      <c r="I87" s="94">
        <f t="shared" si="1"/>
        <v>0</v>
      </c>
    </row>
    <row r="88" spans="1:9" s="105" customFormat="1" ht="30" customHeight="1" x14ac:dyDescent="0.25">
      <c r="A88" s="103" t="s">
        <v>178</v>
      </c>
      <c r="B88" s="93" t="str">
        <f>Vajda!A116</f>
        <v>Tasi Éva</v>
      </c>
      <c r="C88" s="93" t="str">
        <f>VLOOKUP(B88,Vajdanévsor!$A$2:$C$107,2,FALSE)</f>
        <v>X2000020</v>
      </c>
      <c r="D88" s="93" t="str">
        <f>VLOOKUP(B88,Vajdanévsor!$A$2:$C$107,3,FALSE)</f>
        <v>U0000030301</v>
      </c>
      <c r="E88" s="92">
        <v>380</v>
      </c>
      <c r="F88" s="93">
        <f>VLOOKUP(B88,Vajda!$A$125:$AG$242,33,FALSE)</f>
        <v>0</v>
      </c>
      <c r="G88" s="94">
        <v>460</v>
      </c>
      <c r="H88" s="104">
        <f>VLOOKUP(B88,Vajda!$A$3:$AG$121,33,FALSE)</f>
        <v>0</v>
      </c>
      <c r="I88" s="94">
        <f t="shared" si="1"/>
        <v>0</v>
      </c>
    </row>
    <row r="89" spans="1:9" s="105" customFormat="1" ht="30" customHeight="1" x14ac:dyDescent="0.25">
      <c r="A89" s="103" t="s">
        <v>179</v>
      </c>
      <c r="B89" s="93" t="str">
        <f>Vajda!A117</f>
        <v>Ungvári Imréné</v>
      </c>
      <c r="C89" s="93" t="str">
        <f>VLOOKUP(B89,Vajdanévsor!$A$2:$C$107,2,FALSE)</f>
        <v>X2000020</v>
      </c>
      <c r="D89" s="93" t="str">
        <f>VLOOKUP(B89,Vajdanévsor!$A$2:$C$107,3,FALSE)</f>
        <v>U0000030301</v>
      </c>
      <c r="E89" s="92">
        <v>380</v>
      </c>
      <c r="F89" s="93">
        <f>VLOOKUP(B89,Vajda!$A$125:$AG$242,33,FALSE)</f>
        <v>0</v>
      </c>
      <c r="G89" s="94">
        <v>460</v>
      </c>
      <c r="H89" s="104">
        <f>VLOOKUP(B89,Vajda!$A$3:$AG$121,33,FALSE)</f>
        <v>0</v>
      </c>
      <c r="I89" s="94">
        <f t="shared" si="1"/>
        <v>0</v>
      </c>
    </row>
    <row r="90" spans="1:9" s="105" customFormat="1" ht="30" customHeight="1" x14ac:dyDescent="0.25">
      <c r="A90" s="103" t="s">
        <v>180</v>
      </c>
      <c r="B90" s="93" t="str">
        <f>Vajda!A118</f>
        <v>Valló Lászlóné</v>
      </c>
      <c r="C90" s="93" t="str">
        <f>VLOOKUP(B90,Vajdanévsor!$A$2:$C$107,2,FALSE)</f>
        <v>X2000020</v>
      </c>
      <c r="D90" s="93" t="str">
        <f>VLOOKUP(B90,Vajdanévsor!$A$2:$C$107,3,FALSE)</f>
        <v>U0000030301</v>
      </c>
      <c r="E90" s="92">
        <v>380</v>
      </c>
      <c r="F90" s="93">
        <f>VLOOKUP(B90,Vajda!$A$125:$AG$242,33,FALSE)</f>
        <v>0</v>
      </c>
      <c r="G90" s="94">
        <v>460</v>
      </c>
      <c r="H90" s="104">
        <f>VLOOKUP(B90,Vajda!$A$3:$AG$121,33,FALSE)</f>
        <v>0</v>
      </c>
      <c r="I90" s="94">
        <f t="shared" si="1"/>
        <v>0</v>
      </c>
    </row>
    <row r="91" spans="1:9" s="105" customFormat="1" ht="30" customHeight="1" x14ac:dyDescent="0.25">
      <c r="A91" s="103" t="s">
        <v>181</v>
      </c>
      <c r="B91" s="93" t="str">
        <f>Vajda!A119</f>
        <v>Vassné Czesznak Melinda</v>
      </c>
      <c r="C91" s="93" t="str">
        <f>VLOOKUP(B91,Vajdanévsor!$A$2:$C$107,2,FALSE)</f>
        <v>X2000020</v>
      </c>
      <c r="D91" s="93" t="str">
        <f>VLOOKUP(B91,Vajdanévsor!$A$2:$C$107,3,FALSE)</f>
        <v>U0000030301</v>
      </c>
      <c r="E91" s="92">
        <v>380</v>
      </c>
      <c r="F91" s="93">
        <f>VLOOKUP(B91,Vajda!$A$125:$AG$242,33,FALSE)</f>
        <v>0</v>
      </c>
      <c r="G91" s="94">
        <v>460</v>
      </c>
      <c r="H91" s="104">
        <f>VLOOKUP(B91,Vajda!$A$3:$AG$121,33,FALSE)</f>
        <v>0</v>
      </c>
      <c r="I91" s="94">
        <f t="shared" si="1"/>
        <v>0</v>
      </c>
    </row>
    <row r="92" spans="1:9" s="105" customFormat="1" ht="30" customHeight="1" x14ac:dyDescent="0.25">
      <c r="A92" s="103" t="s">
        <v>198</v>
      </c>
      <c r="B92" s="93" t="str">
        <f>Vajda!A120</f>
        <v>Romhányi Nikoletta</v>
      </c>
      <c r="C92" s="93" t="str">
        <f>VLOOKUP(B92,Vajdanévsor!$A$2:$C$107,2,FALSE)</f>
        <v>X2000020</v>
      </c>
      <c r="D92" s="93" t="str">
        <f>VLOOKUP(B92,Vajdanévsor!$A$2:$C$107,3,FALSE)</f>
        <v>U0000030301</v>
      </c>
      <c r="E92" s="92">
        <v>380</v>
      </c>
      <c r="F92" s="93">
        <f>VLOOKUP(B92,Vajda!$A$125:$AG$242,33,FALSE)</f>
        <v>0</v>
      </c>
      <c r="G92" s="94">
        <v>460</v>
      </c>
      <c r="H92" s="104">
        <f>VLOOKUP(B92,Vajda!$A$3:$AG$121,33,FALSE)</f>
        <v>0</v>
      </c>
      <c r="I92" s="94">
        <f t="shared" si="1"/>
        <v>0</v>
      </c>
    </row>
    <row r="93" spans="1:9" s="105" customFormat="1" ht="30" customHeight="1" x14ac:dyDescent="0.25">
      <c r="A93" s="103" t="s">
        <v>199</v>
      </c>
      <c r="B93" s="93" t="str">
        <f>Vajda!A121</f>
        <v>Zahoreczné Molnár Katalain</v>
      </c>
      <c r="C93" s="93" t="str">
        <f>VLOOKUP(B93,Vajdanévsor!$A$2:$C$107,2,FALSE)</f>
        <v>X2000020</v>
      </c>
      <c r="D93" s="93" t="str">
        <f>VLOOKUP(B93,Vajdanévsor!$A$2:$C$107,3,FALSE)</f>
        <v>U0000030301</v>
      </c>
      <c r="E93" s="92">
        <v>380</v>
      </c>
      <c r="F93" s="93">
        <f>VLOOKUP(B93,Vajda!$A$125:$AG$242,33,FALSE)</f>
        <v>0</v>
      </c>
      <c r="G93" s="94">
        <v>460</v>
      </c>
      <c r="H93" s="104">
        <f>VLOOKUP(B93,Vajda!$A$3:$AG$121,33,FALSE)</f>
        <v>0</v>
      </c>
      <c r="I93" s="94">
        <f t="shared" si="1"/>
        <v>0</v>
      </c>
    </row>
    <row r="94" spans="1:9" s="105" customFormat="1" ht="30" customHeight="1" x14ac:dyDescent="0.25">
      <c r="A94" s="103" t="s">
        <v>306</v>
      </c>
      <c r="B94" s="93" t="s">
        <v>446</v>
      </c>
      <c r="C94" s="93" t="str">
        <f>VLOOKUP(B94,Vajdanévsor!$A$2:$C$107,2,FALSE)</f>
        <v>X8800101</v>
      </c>
      <c r="D94" s="93" t="str">
        <f>VLOOKUP(B94,Vajdanévsor!$A$2:$C$107,3,FALSE)</f>
        <v>U0000030301</v>
      </c>
      <c r="E94" s="92">
        <v>380</v>
      </c>
      <c r="F94" s="93">
        <f>VLOOKUP(B94,Vajda!$A$125:$AG$242,33,FALSE)</f>
        <v>8</v>
      </c>
      <c r="G94" s="94">
        <v>460</v>
      </c>
      <c r="H94" s="104">
        <f>VLOOKUP(B94,Vajda!$A$3:$AG$121,33,FALSE)</f>
        <v>0</v>
      </c>
      <c r="I94" s="94">
        <f t="shared" si="1"/>
        <v>3040</v>
      </c>
    </row>
    <row r="95" spans="1:9" s="105" customFormat="1" ht="30" customHeight="1" thickBot="1" x14ac:dyDescent="0.3">
      <c r="A95" s="103" t="s">
        <v>307</v>
      </c>
      <c r="B95" s="143" t="s">
        <v>290</v>
      </c>
      <c r="C95" s="93" t="str">
        <f>VLOOKUP(B95,Vajdanévsor!$A$2:$C$107,2,FALSE)</f>
        <v>X2000020</v>
      </c>
      <c r="D95" s="93" t="str">
        <f>VLOOKUP(B95,Vajdanévsor!$A$2:$C$107,3,FALSE)</f>
        <v>U0000030301</v>
      </c>
      <c r="E95" s="92">
        <v>380</v>
      </c>
      <c r="F95" s="93">
        <f>VLOOKUP(B95,Vajda!$A$125:$AG$242,33,FALSE)</f>
        <v>0</v>
      </c>
      <c r="G95" s="94">
        <v>460</v>
      </c>
      <c r="H95" s="104">
        <f>VLOOKUP(B95,Vajda!$A$3:$AG$121,33,FALSE)</f>
        <v>0</v>
      </c>
      <c r="I95" s="94">
        <f t="shared" si="1"/>
        <v>0</v>
      </c>
    </row>
    <row r="96" spans="1:9" s="105" customFormat="1" ht="30" customHeight="1" thickBot="1" x14ac:dyDescent="0.3">
      <c r="A96" s="103" t="s">
        <v>308</v>
      </c>
      <c r="B96" s="169" t="s">
        <v>457</v>
      </c>
      <c r="C96" s="93" t="str">
        <f>VLOOKUP(B96,Vajdanévsor!$A$2:$C$107,2,FALSE)</f>
        <v>X2000004</v>
      </c>
      <c r="D96" s="93" t="str">
        <f>VLOOKUP(B96,Vajdanévsor!$A$2:$C$107,3,FALSE)</f>
        <v>U0000030301</v>
      </c>
      <c r="E96" s="92">
        <v>380</v>
      </c>
      <c r="F96" s="93">
        <f>VLOOKUP(B96,Vajda!$A$125:$AG$242,33,FALSE)</f>
        <v>31</v>
      </c>
      <c r="G96" s="94">
        <v>460</v>
      </c>
      <c r="H96" s="104">
        <f>VLOOKUP(B96,Vajda!$A$3:$AG$121,33,FALSE)</f>
        <v>30</v>
      </c>
      <c r="I96" s="94">
        <f t="shared" si="1"/>
        <v>25580</v>
      </c>
    </row>
    <row r="97" spans="1:10" s="105" customFormat="1" ht="30" customHeight="1" thickBot="1" x14ac:dyDescent="0.3">
      <c r="A97" s="130" t="s">
        <v>309</v>
      </c>
      <c r="B97" s="169" t="s">
        <v>269</v>
      </c>
      <c r="C97" s="93" t="str">
        <f>VLOOKUP(B97,Vajdanévsor!$A$2:$C$107,2,FALSE)</f>
        <v>X2000006</v>
      </c>
      <c r="D97" s="93" t="str">
        <f>VLOOKUP(B97,Vajdanévsor!$A$2:$C$107,3,FALSE)</f>
        <v>U0000030301</v>
      </c>
      <c r="E97" s="92">
        <v>380</v>
      </c>
      <c r="F97" s="93">
        <f>VLOOKUP(B97,Vajda!$A$125:$AG$242,33,FALSE)</f>
        <v>18</v>
      </c>
      <c r="G97" s="94">
        <v>460</v>
      </c>
      <c r="H97" s="104">
        <f>VLOOKUP(B97,Vajda!$A$3:$AG$121,33,FALSE)</f>
        <v>0</v>
      </c>
      <c r="I97" s="94">
        <f t="shared" si="1"/>
        <v>6840</v>
      </c>
    </row>
    <row r="98" spans="1:10" s="105" customFormat="1" ht="30" customHeight="1" thickBot="1" x14ac:dyDescent="0.3">
      <c r="A98" s="109"/>
      <c r="B98" s="110" t="s">
        <v>10</v>
      </c>
      <c r="C98" s="110"/>
      <c r="D98" s="110"/>
      <c r="E98" s="111"/>
      <c r="F98" s="115">
        <f>SUM(F5:F97)</f>
        <v>402</v>
      </c>
      <c r="G98" s="111"/>
      <c r="H98" s="113">
        <f>SUM(H5:H97)</f>
        <v>30</v>
      </c>
      <c r="I98" s="114">
        <f>SUM(I5:I97)</f>
        <v>166560</v>
      </c>
      <c r="J98" s="142"/>
    </row>
    <row r="99" spans="1:10" x14ac:dyDescent="0.25">
      <c r="A99" s="56"/>
      <c r="B99" s="57">
        <f>COUNTA(B5:B95)</f>
        <v>91</v>
      </c>
      <c r="C99" s="57"/>
      <c r="D99" s="57"/>
      <c r="E99" s="57"/>
      <c r="F99" s="57"/>
      <c r="G99" s="58"/>
      <c r="H99" s="58"/>
    </row>
    <row r="100" spans="1:10" x14ac:dyDescent="0.25">
      <c r="A100" s="56"/>
      <c r="B100" s="57"/>
      <c r="C100" s="57"/>
      <c r="D100" s="57"/>
      <c r="E100" s="57"/>
      <c r="F100" s="57"/>
      <c r="G100" s="59"/>
      <c r="H100" s="58"/>
    </row>
    <row r="101" spans="1:10" x14ac:dyDescent="0.25">
      <c r="A101" s="58"/>
      <c r="B101" s="57"/>
      <c r="C101" s="57"/>
      <c r="D101" s="57"/>
      <c r="E101" s="57"/>
      <c r="F101" s="57"/>
      <c r="G101" s="58"/>
      <c r="H101" s="58"/>
    </row>
    <row r="102" spans="1:10" ht="15" customHeight="1" x14ac:dyDescent="0.25">
      <c r="A102" s="58"/>
      <c r="B102" s="263" t="s">
        <v>471</v>
      </c>
      <c r="C102" s="263"/>
      <c r="D102" s="263"/>
      <c r="E102" s="263"/>
      <c r="F102" s="263"/>
      <c r="G102" s="263"/>
      <c r="H102" s="264" t="s">
        <v>128</v>
      </c>
      <c r="I102" s="264"/>
    </row>
  </sheetData>
  <mergeCells count="7">
    <mergeCell ref="B102:G102"/>
    <mergeCell ref="H102:I102"/>
    <mergeCell ref="A1:G1"/>
    <mergeCell ref="A2:G2"/>
    <mergeCell ref="A3:B3"/>
    <mergeCell ref="E3:F3"/>
    <mergeCell ref="G3:H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opLeftCell="A64" workbookViewId="0">
      <selection activeCell="H95" sqref="H95"/>
    </sheetView>
  </sheetViews>
  <sheetFormatPr defaultRowHeight="15" x14ac:dyDescent="0.25"/>
  <cols>
    <col min="1" max="1" width="29.140625" bestFit="1" customWidth="1"/>
  </cols>
  <sheetData>
    <row r="1" spans="1:3" x14ac:dyDescent="0.25">
      <c r="A1" s="78" t="s">
        <v>86</v>
      </c>
      <c r="B1" s="78" t="s">
        <v>369</v>
      </c>
      <c r="C1" s="78" t="s">
        <v>368</v>
      </c>
    </row>
    <row r="2" spans="1:3" x14ac:dyDescent="0.25">
      <c r="A2" s="78" t="s">
        <v>214</v>
      </c>
      <c r="B2" s="78" t="s">
        <v>372</v>
      </c>
      <c r="C2" s="78" t="s">
        <v>373</v>
      </c>
    </row>
    <row r="3" spans="1:3" x14ac:dyDescent="0.25">
      <c r="A3" s="78" t="s">
        <v>215</v>
      </c>
      <c r="B3" s="78" t="s">
        <v>372</v>
      </c>
      <c r="C3" s="78" t="s">
        <v>373</v>
      </c>
    </row>
    <row r="4" spans="1:3" x14ac:dyDescent="0.25">
      <c r="A4" s="78" t="s">
        <v>216</v>
      </c>
      <c r="B4" s="78" t="s">
        <v>372</v>
      </c>
      <c r="C4" s="78" t="s">
        <v>373</v>
      </c>
    </row>
    <row r="5" spans="1:3" x14ac:dyDescent="0.25">
      <c r="A5" s="78" t="s">
        <v>217</v>
      </c>
      <c r="B5" s="78" t="s">
        <v>374</v>
      </c>
      <c r="C5" s="78" t="s">
        <v>373</v>
      </c>
    </row>
    <row r="6" spans="1:3" x14ac:dyDescent="0.25">
      <c r="A6" s="78" t="s">
        <v>218</v>
      </c>
      <c r="B6" s="78" t="s">
        <v>375</v>
      </c>
      <c r="C6" s="78" t="s">
        <v>373</v>
      </c>
    </row>
    <row r="7" spans="1:3" x14ac:dyDescent="0.25">
      <c r="A7" s="78" t="s">
        <v>219</v>
      </c>
      <c r="B7" s="78" t="s">
        <v>376</v>
      </c>
      <c r="C7" s="78" t="s">
        <v>373</v>
      </c>
    </row>
    <row r="8" spans="1:3" x14ac:dyDescent="0.25">
      <c r="A8" s="78" t="s">
        <v>318</v>
      </c>
      <c r="B8" s="78" t="s">
        <v>376</v>
      </c>
      <c r="C8" s="78" t="s">
        <v>373</v>
      </c>
    </row>
    <row r="9" spans="1:3" x14ac:dyDescent="0.25">
      <c r="A9" s="78" t="s">
        <v>220</v>
      </c>
      <c r="B9" s="78" t="s">
        <v>376</v>
      </c>
      <c r="C9" s="78" t="s">
        <v>373</v>
      </c>
    </row>
    <row r="10" spans="1:3" x14ac:dyDescent="0.25">
      <c r="A10" s="78" t="s">
        <v>363</v>
      </c>
      <c r="B10" s="78" t="s">
        <v>376</v>
      </c>
      <c r="C10" s="78" t="s">
        <v>373</v>
      </c>
    </row>
    <row r="11" spans="1:3" x14ac:dyDescent="0.25">
      <c r="A11" s="78" t="s">
        <v>364</v>
      </c>
      <c r="B11" s="78" t="s">
        <v>376</v>
      </c>
      <c r="C11" s="78" t="s">
        <v>373</v>
      </c>
    </row>
    <row r="12" spans="1:3" x14ac:dyDescent="0.25">
      <c r="A12" s="78" t="s">
        <v>366</v>
      </c>
      <c r="B12" s="78" t="s">
        <v>376</v>
      </c>
      <c r="C12" s="78" t="s">
        <v>373</v>
      </c>
    </row>
    <row r="13" spans="1:3" x14ac:dyDescent="0.25">
      <c r="A13" s="78" t="s">
        <v>440</v>
      </c>
      <c r="B13" s="78" t="s">
        <v>380</v>
      </c>
      <c r="C13" s="78" t="s">
        <v>373</v>
      </c>
    </row>
    <row r="14" spans="1:3" x14ac:dyDescent="0.25">
      <c r="A14" s="78" t="s">
        <v>457</v>
      </c>
      <c r="B14" s="78" t="s">
        <v>376</v>
      </c>
      <c r="C14" s="78" t="s">
        <v>373</v>
      </c>
    </row>
    <row r="15" spans="1:3" x14ac:dyDescent="0.25">
      <c r="A15" s="78">
        <v>0</v>
      </c>
      <c r="B15" s="78"/>
      <c r="C15" s="78"/>
    </row>
    <row r="16" spans="1:3" x14ac:dyDescent="0.25">
      <c r="A16" s="78">
        <v>0</v>
      </c>
      <c r="B16" s="78"/>
      <c r="C16" s="78"/>
    </row>
    <row r="17" spans="1:3" x14ac:dyDescent="0.25">
      <c r="A17" s="78" t="s">
        <v>221</v>
      </c>
      <c r="B17" s="78" t="s">
        <v>377</v>
      </c>
      <c r="C17" s="78" t="s">
        <v>373</v>
      </c>
    </row>
    <row r="18" spans="1:3" x14ac:dyDescent="0.25">
      <c r="A18" s="78" t="s">
        <v>222</v>
      </c>
      <c r="B18" s="78" t="s">
        <v>377</v>
      </c>
      <c r="C18" s="78" t="s">
        <v>373</v>
      </c>
    </row>
    <row r="19" spans="1:3" x14ac:dyDescent="0.25">
      <c r="A19" s="78" t="s">
        <v>223</v>
      </c>
      <c r="B19" s="78" t="s">
        <v>377</v>
      </c>
      <c r="C19" s="78" t="s">
        <v>373</v>
      </c>
    </row>
    <row r="20" spans="1:3" x14ac:dyDescent="0.25">
      <c r="A20" s="78" t="s">
        <v>224</v>
      </c>
      <c r="B20" s="78" t="s">
        <v>377</v>
      </c>
      <c r="C20" s="78" t="s">
        <v>373</v>
      </c>
    </row>
    <row r="21" spans="1:3" x14ac:dyDescent="0.25">
      <c r="A21" s="78" t="s">
        <v>225</v>
      </c>
      <c r="B21" s="78" t="s">
        <v>378</v>
      </c>
      <c r="C21" s="78" t="s">
        <v>373</v>
      </c>
    </row>
    <row r="22" spans="1:3" x14ac:dyDescent="0.25">
      <c r="A22" s="78" t="s">
        <v>226</v>
      </c>
      <c r="B22" s="78" t="s">
        <v>378</v>
      </c>
      <c r="C22" s="78" t="s">
        <v>373</v>
      </c>
    </row>
    <row r="23" spans="1:3" x14ac:dyDescent="0.25">
      <c r="A23" s="78" t="s">
        <v>227</v>
      </c>
      <c r="B23" s="78" t="s">
        <v>378</v>
      </c>
      <c r="C23" s="78" t="s">
        <v>373</v>
      </c>
    </row>
    <row r="24" spans="1:3" x14ac:dyDescent="0.25">
      <c r="A24" s="78" t="s">
        <v>228</v>
      </c>
      <c r="B24" s="78" t="s">
        <v>378</v>
      </c>
      <c r="C24" s="78" t="s">
        <v>373</v>
      </c>
    </row>
    <row r="25" spans="1:3" x14ac:dyDescent="0.25">
      <c r="A25" s="78" t="s">
        <v>229</v>
      </c>
      <c r="B25" s="78" t="s">
        <v>379</v>
      </c>
      <c r="C25" s="78" t="s">
        <v>373</v>
      </c>
    </row>
    <row r="26" spans="1:3" x14ac:dyDescent="0.25">
      <c r="A26" s="78" t="s">
        <v>230</v>
      </c>
      <c r="B26" s="78" t="s">
        <v>379</v>
      </c>
      <c r="C26" s="78" t="s">
        <v>373</v>
      </c>
    </row>
    <row r="27" spans="1:3" x14ac:dyDescent="0.25">
      <c r="A27" s="78" t="s">
        <v>231</v>
      </c>
      <c r="B27" s="78" t="s">
        <v>379</v>
      </c>
      <c r="C27" s="78" t="s">
        <v>373</v>
      </c>
    </row>
    <row r="28" spans="1:3" x14ac:dyDescent="0.25">
      <c r="A28" s="78" t="s">
        <v>232</v>
      </c>
      <c r="B28" s="78" t="s">
        <v>380</v>
      </c>
      <c r="C28" s="78" t="s">
        <v>373</v>
      </c>
    </row>
    <row r="29" spans="1:3" x14ac:dyDescent="0.25">
      <c r="A29" s="78" t="s">
        <v>233</v>
      </c>
      <c r="B29" s="78" t="s">
        <v>380</v>
      </c>
      <c r="C29" s="78" t="s">
        <v>373</v>
      </c>
    </row>
    <row r="30" spans="1:3" x14ac:dyDescent="0.25">
      <c r="A30" s="78" t="s">
        <v>234</v>
      </c>
      <c r="B30" s="78" t="s">
        <v>380</v>
      </c>
      <c r="C30" s="78" t="s">
        <v>373</v>
      </c>
    </row>
    <row r="31" spans="1:3" x14ac:dyDescent="0.25">
      <c r="A31" s="78" t="s">
        <v>235</v>
      </c>
      <c r="B31" s="78" t="s">
        <v>380</v>
      </c>
      <c r="C31" s="78" t="s">
        <v>373</v>
      </c>
    </row>
    <row r="32" spans="1:3" x14ac:dyDescent="0.25">
      <c r="A32" s="78" t="s">
        <v>446</v>
      </c>
      <c r="B32" s="78" t="s">
        <v>380</v>
      </c>
      <c r="C32" s="78" t="s">
        <v>373</v>
      </c>
    </row>
    <row r="33" spans="1:3" x14ac:dyDescent="0.25">
      <c r="A33" s="78" t="s">
        <v>236</v>
      </c>
      <c r="B33" s="78" t="s">
        <v>380</v>
      </c>
      <c r="C33" s="78" t="s">
        <v>373</v>
      </c>
    </row>
    <row r="34" spans="1:3" x14ac:dyDescent="0.25">
      <c r="A34" s="78" t="s">
        <v>237</v>
      </c>
      <c r="B34" s="78" t="s">
        <v>380</v>
      </c>
      <c r="C34" s="78" t="s">
        <v>373</v>
      </c>
    </row>
    <row r="35" spans="1:3" x14ac:dyDescent="0.25">
      <c r="A35" s="78" t="s">
        <v>238</v>
      </c>
      <c r="B35" s="78" t="s">
        <v>380</v>
      </c>
      <c r="C35" s="78" t="s">
        <v>373</v>
      </c>
    </row>
    <row r="36" spans="1:3" x14ac:dyDescent="0.25">
      <c r="A36" s="78" t="s">
        <v>239</v>
      </c>
      <c r="B36" s="78" t="s">
        <v>380</v>
      </c>
      <c r="C36" s="78" t="s">
        <v>373</v>
      </c>
    </row>
    <row r="37" spans="1:3" x14ac:dyDescent="0.25">
      <c r="A37" s="78" t="s">
        <v>240</v>
      </c>
      <c r="B37" s="78" t="s">
        <v>380</v>
      </c>
      <c r="C37" s="78" t="s">
        <v>373</v>
      </c>
    </row>
    <row r="38" spans="1:3" x14ac:dyDescent="0.25">
      <c r="A38" s="78" t="s">
        <v>241</v>
      </c>
      <c r="B38" s="78" t="s">
        <v>380</v>
      </c>
      <c r="C38" s="78" t="s">
        <v>373</v>
      </c>
    </row>
    <row r="39" spans="1:3" x14ac:dyDescent="0.25">
      <c r="A39" s="78" t="s">
        <v>242</v>
      </c>
      <c r="B39" s="78" t="s">
        <v>380</v>
      </c>
      <c r="C39" s="78" t="s">
        <v>373</v>
      </c>
    </row>
    <row r="40" spans="1:3" x14ac:dyDescent="0.25">
      <c r="A40" s="78" t="s">
        <v>243</v>
      </c>
      <c r="B40" s="78" t="s">
        <v>380</v>
      </c>
      <c r="C40" s="78" t="s">
        <v>373</v>
      </c>
    </row>
    <row r="41" spans="1:3" x14ac:dyDescent="0.25">
      <c r="A41" s="78" t="s">
        <v>244</v>
      </c>
      <c r="B41" s="78" t="s">
        <v>380</v>
      </c>
      <c r="C41" s="78" t="s">
        <v>373</v>
      </c>
    </row>
    <row r="42" spans="1:3" x14ac:dyDescent="0.25">
      <c r="A42" s="78" t="s">
        <v>245</v>
      </c>
      <c r="B42" s="78" t="s">
        <v>380</v>
      </c>
      <c r="C42" s="78" t="s">
        <v>373</v>
      </c>
    </row>
    <row r="43" spans="1:3" x14ac:dyDescent="0.25">
      <c r="A43" s="78" t="s">
        <v>246</v>
      </c>
      <c r="B43" s="78" t="s">
        <v>381</v>
      </c>
      <c r="C43" s="78" t="s">
        <v>373</v>
      </c>
    </row>
    <row r="44" spans="1:3" x14ac:dyDescent="0.25">
      <c r="A44" s="78" t="s">
        <v>247</v>
      </c>
      <c r="B44" s="78" t="s">
        <v>381</v>
      </c>
      <c r="C44" s="78" t="s">
        <v>373</v>
      </c>
    </row>
    <row r="45" spans="1:3" x14ac:dyDescent="0.25">
      <c r="A45" s="78" t="s">
        <v>248</v>
      </c>
      <c r="B45" s="78" t="s">
        <v>381</v>
      </c>
      <c r="C45" s="78" t="s">
        <v>373</v>
      </c>
    </row>
    <row r="46" spans="1:3" x14ac:dyDescent="0.25">
      <c r="A46" s="78" t="s">
        <v>249</v>
      </c>
      <c r="B46" s="78" t="s">
        <v>381</v>
      </c>
      <c r="C46" s="78" t="s">
        <v>373</v>
      </c>
    </row>
    <row r="47" spans="1:3" x14ac:dyDescent="0.25">
      <c r="A47" s="78" t="s">
        <v>250</v>
      </c>
      <c r="B47" s="78" t="s">
        <v>381</v>
      </c>
      <c r="C47" s="78" t="s">
        <v>373</v>
      </c>
    </row>
    <row r="48" spans="1:3" x14ac:dyDescent="0.25">
      <c r="A48" s="78" t="s">
        <v>453</v>
      </c>
      <c r="B48" s="78" t="s">
        <v>377</v>
      </c>
      <c r="C48" s="78" t="s">
        <v>373</v>
      </c>
    </row>
    <row r="49" spans="1:3" x14ac:dyDescent="0.25">
      <c r="A49" s="78" t="s">
        <v>251</v>
      </c>
      <c r="B49" s="78" t="s">
        <v>381</v>
      </c>
      <c r="C49" s="78" t="s">
        <v>373</v>
      </c>
    </row>
    <row r="50" spans="1:3" x14ac:dyDescent="0.25">
      <c r="A50" s="78" t="s">
        <v>467</v>
      </c>
      <c r="B50" s="78" t="s">
        <v>381</v>
      </c>
      <c r="C50" s="78" t="s">
        <v>373</v>
      </c>
    </row>
    <row r="51" spans="1:3" x14ac:dyDescent="0.25">
      <c r="A51" s="78" t="s">
        <v>252</v>
      </c>
      <c r="B51" s="78" t="s">
        <v>381</v>
      </c>
      <c r="C51" s="78" t="s">
        <v>373</v>
      </c>
    </row>
    <row r="52" spans="1:3" x14ac:dyDescent="0.25">
      <c r="A52" s="78" t="s">
        <v>253</v>
      </c>
      <c r="B52" s="78" t="s">
        <v>381</v>
      </c>
      <c r="C52" s="78" t="s">
        <v>373</v>
      </c>
    </row>
    <row r="53" spans="1:3" x14ac:dyDescent="0.25">
      <c r="A53" s="78" t="s">
        <v>254</v>
      </c>
      <c r="B53" s="78" t="s">
        <v>381</v>
      </c>
      <c r="C53" s="78" t="s">
        <v>373</v>
      </c>
    </row>
    <row r="54" spans="1:3" x14ac:dyDescent="0.25">
      <c r="A54" s="78" t="s">
        <v>255</v>
      </c>
      <c r="B54" s="78" t="s">
        <v>381</v>
      </c>
      <c r="C54" s="78" t="s">
        <v>373</v>
      </c>
    </row>
    <row r="55" spans="1:3" x14ac:dyDescent="0.25">
      <c r="A55" s="78" t="s">
        <v>256</v>
      </c>
      <c r="B55" s="78" t="s">
        <v>381</v>
      </c>
      <c r="C55" s="78" t="s">
        <v>373</v>
      </c>
    </row>
    <row r="56" spans="1:3" x14ac:dyDescent="0.25">
      <c r="A56" s="78" t="s">
        <v>257</v>
      </c>
      <c r="B56" s="78" t="s">
        <v>381</v>
      </c>
      <c r="C56" s="78" t="s">
        <v>373</v>
      </c>
    </row>
    <row r="57" spans="1:3" x14ac:dyDescent="0.25">
      <c r="A57" s="78" t="s">
        <v>258</v>
      </c>
      <c r="B57" s="78" t="s">
        <v>381</v>
      </c>
      <c r="C57" s="78" t="s">
        <v>373</v>
      </c>
    </row>
    <row r="58" spans="1:3" x14ac:dyDescent="0.25">
      <c r="A58" s="78" t="s">
        <v>259</v>
      </c>
      <c r="B58" s="78" t="s">
        <v>381</v>
      </c>
      <c r="C58" s="78" t="s">
        <v>373</v>
      </c>
    </row>
    <row r="59" spans="1:3" x14ac:dyDescent="0.25">
      <c r="A59" s="78" t="s">
        <v>260</v>
      </c>
      <c r="B59" s="78" t="s">
        <v>381</v>
      </c>
      <c r="C59" s="78" t="s">
        <v>373</v>
      </c>
    </row>
    <row r="60" spans="1:3" x14ac:dyDescent="0.25">
      <c r="A60" s="78" t="s">
        <v>261</v>
      </c>
      <c r="B60" s="78" t="s">
        <v>381</v>
      </c>
      <c r="C60" s="78" t="s">
        <v>373</v>
      </c>
    </row>
    <row r="61" spans="1:3" x14ac:dyDescent="0.25">
      <c r="A61" s="78" t="s">
        <v>262</v>
      </c>
      <c r="B61" s="78" t="s">
        <v>381</v>
      </c>
      <c r="C61" s="78" t="s">
        <v>373</v>
      </c>
    </row>
    <row r="62" spans="1:3" x14ac:dyDescent="0.25">
      <c r="A62" s="78" t="s">
        <v>263</v>
      </c>
      <c r="B62" s="78" t="s">
        <v>381</v>
      </c>
      <c r="C62" s="78" t="s">
        <v>373</v>
      </c>
    </row>
    <row r="63" spans="1:3" x14ac:dyDescent="0.25">
      <c r="A63" s="78" t="s">
        <v>264</v>
      </c>
      <c r="B63" s="78" t="s">
        <v>381</v>
      </c>
      <c r="C63" s="78" t="s">
        <v>373</v>
      </c>
    </row>
    <row r="64" spans="1:3" x14ac:dyDescent="0.25">
      <c r="A64" s="78" t="s">
        <v>265</v>
      </c>
      <c r="B64" s="78" t="s">
        <v>381</v>
      </c>
      <c r="C64" s="78" t="s">
        <v>373</v>
      </c>
    </row>
    <row r="65" spans="1:3" x14ac:dyDescent="0.25">
      <c r="A65" s="78" t="s">
        <v>266</v>
      </c>
      <c r="B65" s="78" t="s">
        <v>381</v>
      </c>
      <c r="C65" s="78" t="s">
        <v>373</v>
      </c>
    </row>
    <row r="66" spans="1:3" x14ac:dyDescent="0.25">
      <c r="A66" s="78" t="s">
        <v>267</v>
      </c>
      <c r="B66" s="78" t="s">
        <v>381</v>
      </c>
      <c r="C66" s="78" t="s">
        <v>373</v>
      </c>
    </row>
    <row r="67" spans="1:3" x14ac:dyDescent="0.25">
      <c r="A67" s="78" t="s">
        <v>268</v>
      </c>
      <c r="B67" s="78" t="s">
        <v>381</v>
      </c>
      <c r="C67" s="78" t="s">
        <v>373</v>
      </c>
    </row>
    <row r="68" spans="1:3" x14ac:dyDescent="0.25">
      <c r="A68" s="78" t="s">
        <v>269</v>
      </c>
      <c r="B68" s="78" t="s">
        <v>393</v>
      </c>
      <c r="C68" s="78" t="s">
        <v>373</v>
      </c>
    </row>
    <row r="69" spans="1:3" x14ac:dyDescent="0.25">
      <c r="A69" s="78" t="s">
        <v>270</v>
      </c>
      <c r="B69" s="78" t="s">
        <v>393</v>
      </c>
      <c r="C69" s="78" t="s">
        <v>373</v>
      </c>
    </row>
    <row r="70" spans="1:3" x14ac:dyDescent="0.25">
      <c r="A70" s="78" t="s">
        <v>271</v>
      </c>
      <c r="B70" s="78" t="s">
        <v>382</v>
      </c>
      <c r="C70" s="78" t="s">
        <v>373</v>
      </c>
    </row>
    <row r="71" spans="1:3" x14ac:dyDescent="0.25">
      <c r="A71" s="78" t="s">
        <v>272</v>
      </c>
      <c r="B71" s="78" t="s">
        <v>382</v>
      </c>
      <c r="C71" s="78" t="s">
        <v>373</v>
      </c>
    </row>
    <row r="72" spans="1:3" x14ac:dyDescent="0.25">
      <c r="A72" s="78" t="s">
        <v>273</v>
      </c>
      <c r="B72" s="78" t="s">
        <v>382</v>
      </c>
      <c r="C72" s="78" t="s">
        <v>373</v>
      </c>
    </row>
    <row r="73" spans="1:3" x14ac:dyDescent="0.25">
      <c r="A73" s="78" t="s">
        <v>274</v>
      </c>
      <c r="B73" s="78" t="s">
        <v>382</v>
      </c>
      <c r="C73" s="78" t="s">
        <v>373</v>
      </c>
    </row>
    <row r="74" spans="1:3" x14ac:dyDescent="0.25">
      <c r="A74" s="78" t="s">
        <v>275</v>
      </c>
      <c r="B74" s="78" t="s">
        <v>383</v>
      </c>
      <c r="C74" s="78" t="s">
        <v>373</v>
      </c>
    </row>
    <row r="75" spans="1:3" x14ac:dyDescent="0.25">
      <c r="A75" s="78" t="s">
        <v>276</v>
      </c>
      <c r="B75" s="78" t="s">
        <v>383</v>
      </c>
      <c r="C75" s="78" t="s">
        <v>373</v>
      </c>
    </row>
    <row r="76" spans="1:3" x14ac:dyDescent="0.25">
      <c r="A76" s="78" t="s">
        <v>277</v>
      </c>
      <c r="B76" s="78" t="s">
        <v>383</v>
      </c>
      <c r="C76" s="78" t="s">
        <v>373</v>
      </c>
    </row>
    <row r="77" spans="1:3" x14ac:dyDescent="0.25">
      <c r="A77" s="78" t="s">
        <v>278</v>
      </c>
      <c r="B77" s="78" t="s">
        <v>383</v>
      </c>
      <c r="C77" s="78" t="s">
        <v>373</v>
      </c>
    </row>
    <row r="78" spans="1:3" x14ac:dyDescent="0.25">
      <c r="A78" s="78" t="s">
        <v>279</v>
      </c>
      <c r="B78" s="78" t="s">
        <v>383</v>
      </c>
      <c r="C78" s="78" t="s">
        <v>373</v>
      </c>
    </row>
    <row r="79" spans="1:3" x14ac:dyDescent="0.25">
      <c r="A79" s="78" t="s">
        <v>280</v>
      </c>
      <c r="B79" s="78" t="s">
        <v>383</v>
      </c>
      <c r="C79" s="78" t="s">
        <v>373</v>
      </c>
    </row>
    <row r="80" spans="1:3" x14ac:dyDescent="0.25">
      <c r="A80" s="78" t="s">
        <v>281</v>
      </c>
      <c r="B80" s="78" t="s">
        <v>383</v>
      </c>
      <c r="C80" s="78" t="s">
        <v>373</v>
      </c>
    </row>
    <row r="81" spans="1:3" x14ac:dyDescent="0.25">
      <c r="A81" s="78" t="s">
        <v>282</v>
      </c>
      <c r="B81" s="78" t="s">
        <v>383</v>
      </c>
      <c r="C81" s="78" t="s">
        <v>373</v>
      </c>
    </row>
    <row r="82" spans="1:3" x14ac:dyDescent="0.25">
      <c r="A82" s="78" t="s">
        <v>283</v>
      </c>
      <c r="B82" s="78" t="s">
        <v>383</v>
      </c>
      <c r="C82" s="78" t="s">
        <v>373</v>
      </c>
    </row>
    <row r="83" spans="1:3" x14ac:dyDescent="0.25">
      <c r="A83" s="78" t="s">
        <v>284</v>
      </c>
      <c r="B83" s="78" t="s">
        <v>383</v>
      </c>
      <c r="C83" s="78" t="s">
        <v>373</v>
      </c>
    </row>
    <row r="84" spans="1:3" x14ac:dyDescent="0.25">
      <c r="A84" s="78" t="s">
        <v>285</v>
      </c>
      <c r="B84" s="78" t="s">
        <v>383</v>
      </c>
      <c r="C84" s="78" t="s">
        <v>373</v>
      </c>
    </row>
    <row r="85" spans="1:3" x14ac:dyDescent="0.25">
      <c r="A85" s="78" t="s">
        <v>286</v>
      </c>
      <c r="B85" s="78" t="s">
        <v>383</v>
      </c>
      <c r="C85" s="78" t="s">
        <v>373</v>
      </c>
    </row>
    <row r="86" spans="1:3" x14ac:dyDescent="0.25">
      <c r="A86" s="78" t="s">
        <v>73</v>
      </c>
      <c r="B86" s="78" t="s">
        <v>383</v>
      </c>
      <c r="C86" s="78" t="s">
        <v>373</v>
      </c>
    </row>
    <row r="87" spans="1:3" x14ac:dyDescent="0.25">
      <c r="A87" s="78" t="s">
        <v>287</v>
      </c>
      <c r="B87" s="78" t="s">
        <v>383</v>
      </c>
      <c r="C87" s="78" t="s">
        <v>373</v>
      </c>
    </row>
    <row r="88" spans="1:3" x14ac:dyDescent="0.25">
      <c r="A88" s="78" t="s">
        <v>288</v>
      </c>
      <c r="B88" s="78" t="s">
        <v>383</v>
      </c>
      <c r="C88" s="78" t="s">
        <v>373</v>
      </c>
    </row>
    <row r="89" spans="1:3" x14ac:dyDescent="0.25">
      <c r="A89" s="78" t="s">
        <v>289</v>
      </c>
      <c r="B89" s="78" t="s">
        <v>383</v>
      </c>
      <c r="C89" s="78" t="s">
        <v>373</v>
      </c>
    </row>
    <row r="90" spans="1:3" x14ac:dyDescent="0.25">
      <c r="A90" s="78" t="s">
        <v>384</v>
      </c>
      <c r="B90" s="78" t="s">
        <v>383</v>
      </c>
      <c r="C90" s="78" t="s">
        <v>373</v>
      </c>
    </row>
    <row r="91" spans="1:3" x14ac:dyDescent="0.25">
      <c r="A91" s="78" t="s">
        <v>291</v>
      </c>
      <c r="B91" s="78" t="s">
        <v>383</v>
      </c>
      <c r="C91" s="78" t="s">
        <v>373</v>
      </c>
    </row>
    <row r="92" spans="1:3" x14ac:dyDescent="0.25">
      <c r="A92" s="78" t="s">
        <v>292</v>
      </c>
      <c r="B92" s="78" t="s">
        <v>383</v>
      </c>
      <c r="C92" s="78" t="s">
        <v>373</v>
      </c>
    </row>
    <row r="93" spans="1:3" x14ac:dyDescent="0.25">
      <c r="A93" s="78" t="s">
        <v>293</v>
      </c>
      <c r="B93" s="78" t="s">
        <v>383</v>
      </c>
      <c r="C93" s="78" t="s">
        <v>373</v>
      </c>
    </row>
    <row r="94" spans="1:3" x14ac:dyDescent="0.25">
      <c r="A94" s="78" t="s">
        <v>294</v>
      </c>
      <c r="B94" s="78" t="s">
        <v>383</v>
      </c>
      <c r="C94" s="78" t="s">
        <v>373</v>
      </c>
    </row>
    <row r="95" spans="1:3" x14ac:dyDescent="0.25">
      <c r="A95" s="78" t="s">
        <v>295</v>
      </c>
      <c r="B95" s="78" t="s">
        <v>383</v>
      </c>
      <c r="C95" s="78" t="s">
        <v>373</v>
      </c>
    </row>
    <row r="96" spans="1:3" x14ac:dyDescent="0.25">
      <c r="A96" s="78" t="s">
        <v>296</v>
      </c>
      <c r="B96" s="78" t="s">
        <v>383</v>
      </c>
      <c r="C96" s="78" t="s">
        <v>373</v>
      </c>
    </row>
    <row r="97" spans="1:3" x14ac:dyDescent="0.25">
      <c r="A97" s="78" t="s">
        <v>297</v>
      </c>
      <c r="B97" s="78" t="s">
        <v>383</v>
      </c>
      <c r="C97" s="78" t="s">
        <v>373</v>
      </c>
    </row>
    <row r="98" spans="1:3" x14ac:dyDescent="0.25">
      <c r="A98" s="78" t="s">
        <v>439</v>
      </c>
      <c r="B98" s="78" t="s">
        <v>376</v>
      </c>
      <c r="C98" s="78" t="s">
        <v>373</v>
      </c>
    </row>
    <row r="99" spans="1:3" x14ac:dyDescent="0.25">
      <c r="A99" s="78" t="s">
        <v>438</v>
      </c>
      <c r="B99" s="78" t="s">
        <v>376</v>
      </c>
      <c r="C99" s="78" t="s">
        <v>373</v>
      </c>
    </row>
    <row r="100" spans="1:3" x14ac:dyDescent="0.25">
      <c r="A100" t="s">
        <v>290</v>
      </c>
      <c r="B100" s="78" t="s">
        <v>383</v>
      </c>
      <c r="C100" s="78" t="s">
        <v>373</v>
      </c>
    </row>
    <row r="101" spans="1:3" x14ac:dyDescent="0.25">
      <c r="A101" s="79" t="s">
        <v>468</v>
      </c>
      <c r="B101" s="78" t="s">
        <v>376</v>
      </c>
      <c r="C101" s="78" t="s">
        <v>373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"/>
  <sheetViews>
    <sheetView topLeftCell="A94" workbookViewId="0">
      <selection activeCell="F123" sqref="F123"/>
    </sheetView>
  </sheetViews>
  <sheetFormatPr defaultRowHeight="15" x14ac:dyDescent="0.25"/>
  <cols>
    <col min="1" max="1" width="29.7109375" bestFit="1" customWidth="1"/>
    <col min="2" max="2" width="15.140625" customWidth="1"/>
    <col min="3" max="3" width="16.140625" customWidth="1"/>
  </cols>
  <sheetData>
    <row r="1" spans="1:3" x14ac:dyDescent="0.25">
      <c r="A1" s="78" t="s">
        <v>86</v>
      </c>
      <c r="B1" s="78" t="s">
        <v>369</v>
      </c>
      <c r="C1" s="78" t="s">
        <v>368</v>
      </c>
    </row>
    <row r="2" spans="1:3" x14ac:dyDescent="0.25">
      <c r="A2" s="78" t="s">
        <v>434</v>
      </c>
      <c r="B2" s="78" t="s">
        <v>383</v>
      </c>
      <c r="C2" s="78" t="s">
        <v>385</v>
      </c>
    </row>
    <row r="3" spans="1:3" x14ac:dyDescent="0.25">
      <c r="A3" s="78" t="s">
        <v>25</v>
      </c>
      <c r="B3" s="78" t="s">
        <v>383</v>
      </c>
      <c r="C3" s="78" t="s">
        <v>385</v>
      </c>
    </row>
    <row r="4" spans="1:3" x14ac:dyDescent="0.25">
      <c r="A4" s="78" t="s">
        <v>33</v>
      </c>
      <c r="B4" s="78" t="s">
        <v>383</v>
      </c>
      <c r="C4" s="78" t="s">
        <v>385</v>
      </c>
    </row>
    <row r="5" spans="1:3" x14ac:dyDescent="0.25">
      <c r="A5" s="78" t="s">
        <v>58</v>
      </c>
      <c r="B5" s="78" t="s">
        <v>383</v>
      </c>
      <c r="C5" s="78" t="s">
        <v>385</v>
      </c>
    </row>
    <row r="6" spans="1:3" x14ac:dyDescent="0.25">
      <c r="A6" s="78" t="s">
        <v>11</v>
      </c>
      <c r="B6" s="78" t="s">
        <v>383</v>
      </c>
      <c r="C6" s="78" t="s">
        <v>385</v>
      </c>
    </row>
    <row r="7" spans="1:3" x14ac:dyDescent="0.25">
      <c r="A7" s="78" t="s">
        <v>474</v>
      </c>
      <c r="B7" s="78" t="s">
        <v>383</v>
      </c>
      <c r="C7" s="78" t="s">
        <v>385</v>
      </c>
    </row>
    <row r="8" spans="1:3" x14ac:dyDescent="0.25">
      <c r="A8" s="78" t="s">
        <v>435</v>
      </c>
      <c r="B8" s="78" t="s">
        <v>383</v>
      </c>
      <c r="C8" s="78" t="s">
        <v>385</v>
      </c>
    </row>
    <row r="9" spans="1:3" x14ac:dyDescent="0.25">
      <c r="A9" s="78" t="s">
        <v>65</v>
      </c>
      <c r="B9" s="78" t="s">
        <v>383</v>
      </c>
      <c r="C9" s="78" t="s">
        <v>385</v>
      </c>
    </row>
    <row r="10" spans="1:3" x14ac:dyDescent="0.25">
      <c r="A10" s="78" t="s">
        <v>313</v>
      </c>
      <c r="B10" s="78" t="s">
        <v>383</v>
      </c>
      <c r="C10" s="78" t="s">
        <v>385</v>
      </c>
    </row>
    <row r="11" spans="1:3" x14ac:dyDescent="0.25">
      <c r="A11" s="78" t="s">
        <v>12</v>
      </c>
      <c r="B11" s="78" t="s">
        <v>383</v>
      </c>
      <c r="C11" s="78" t="s">
        <v>385</v>
      </c>
    </row>
    <row r="12" spans="1:3" x14ac:dyDescent="0.25">
      <c r="A12" s="78" t="s">
        <v>61</v>
      </c>
      <c r="B12" s="78" t="s">
        <v>383</v>
      </c>
      <c r="C12" s="78" t="s">
        <v>385</v>
      </c>
    </row>
    <row r="13" spans="1:3" x14ac:dyDescent="0.25">
      <c r="A13" s="78" t="s">
        <v>76</v>
      </c>
      <c r="B13" s="78" t="s">
        <v>383</v>
      </c>
      <c r="C13" s="78" t="s">
        <v>385</v>
      </c>
    </row>
    <row r="14" spans="1:3" x14ac:dyDescent="0.25">
      <c r="A14" s="78" t="s">
        <v>13</v>
      </c>
      <c r="B14" s="78" t="s">
        <v>383</v>
      </c>
      <c r="C14" s="78" t="s">
        <v>385</v>
      </c>
    </row>
    <row r="15" spans="1:3" x14ac:dyDescent="0.25">
      <c r="A15" s="78" t="s">
        <v>365</v>
      </c>
      <c r="B15" s="78" t="s">
        <v>383</v>
      </c>
      <c r="C15" s="78" t="s">
        <v>385</v>
      </c>
    </row>
    <row r="16" spans="1:3" x14ac:dyDescent="0.25">
      <c r="A16" s="78" t="s">
        <v>317</v>
      </c>
      <c r="B16" s="78" t="s">
        <v>383</v>
      </c>
      <c r="C16" s="78" t="s">
        <v>385</v>
      </c>
    </row>
    <row r="17" spans="1:3" x14ac:dyDescent="0.25">
      <c r="A17" s="78" t="s">
        <v>437</v>
      </c>
      <c r="B17" s="78" t="s">
        <v>383</v>
      </c>
      <c r="C17" s="78" t="s">
        <v>385</v>
      </c>
    </row>
    <row r="18" spans="1:3" x14ac:dyDescent="0.25">
      <c r="A18" s="78" t="s">
        <v>35</v>
      </c>
      <c r="B18" s="78" t="s">
        <v>383</v>
      </c>
      <c r="C18" s="78" t="s">
        <v>385</v>
      </c>
    </row>
    <row r="19" spans="1:3" x14ac:dyDescent="0.25">
      <c r="A19" s="78" t="s">
        <v>60</v>
      </c>
      <c r="B19" s="78" t="s">
        <v>383</v>
      </c>
      <c r="C19" s="78" t="s">
        <v>385</v>
      </c>
    </row>
    <row r="20" spans="1:3" x14ac:dyDescent="0.25">
      <c r="A20" s="78" t="s">
        <v>80</v>
      </c>
      <c r="B20" s="78" t="s">
        <v>383</v>
      </c>
      <c r="C20" s="78" t="s">
        <v>385</v>
      </c>
    </row>
    <row r="21" spans="1:3" x14ac:dyDescent="0.25">
      <c r="A21" s="78" t="s">
        <v>14</v>
      </c>
      <c r="B21" s="78" t="s">
        <v>383</v>
      </c>
      <c r="C21" s="78" t="s">
        <v>385</v>
      </c>
    </row>
    <row r="22" spans="1:3" x14ac:dyDescent="0.25">
      <c r="A22" s="78" t="s">
        <v>62</v>
      </c>
      <c r="B22" s="78" t="s">
        <v>383</v>
      </c>
      <c r="C22" s="78" t="s">
        <v>385</v>
      </c>
    </row>
    <row r="23" spans="1:3" x14ac:dyDescent="0.25">
      <c r="A23" s="78" t="s">
        <v>312</v>
      </c>
      <c r="B23" s="78" t="s">
        <v>383</v>
      </c>
      <c r="C23" s="78" t="s">
        <v>385</v>
      </c>
    </row>
    <row r="24" spans="1:3" x14ac:dyDescent="0.25">
      <c r="A24" s="78" t="s">
        <v>9</v>
      </c>
      <c r="B24" s="78" t="s">
        <v>383</v>
      </c>
      <c r="C24" s="78" t="s">
        <v>385</v>
      </c>
    </row>
    <row r="25" spans="1:3" x14ac:dyDescent="0.25">
      <c r="A25" s="78" t="s">
        <v>23</v>
      </c>
      <c r="B25" s="78" t="s">
        <v>383</v>
      </c>
      <c r="C25" s="78" t="s">
        <v>385</v>
      </c>
    </row>
    <row r="26" spans="1:3" x14ac:dyDescent="0.25">
      <c r="A26" s="78" t="s">
        <v>15</v>
      </c>
      <c r="B26" s="78" t="s">
        <v>383</v>
      </c>
      <c r="C26" s="78" t="s">
        <v>385</v>
      </c>
    </row>
    <row r="27" spans="1:3" x14ac:dyDescent="0.25">
      <c r="A27" s="78" t="s">
        <v>16</v>
      </c>
      <c r="B27" s="78" t="s">
        <v>383</v>
      </c>
      <c r="C27" s="78" t="s">
        <v>385</v>
      </c>
    </row>
    <row r="28" spans="1:3" x14ac:dyDescent="0.25">
      <c r="A28" s="78" t="s">
        <v>6</v>
      </c>
      <c r="B28" s="78" t="s">
        <v>383</v>
      </c>
      <c r="C28" s="78" t="s">
        <v>385</v>
      </c>
    </row>
    <row r="29" spans="1:3" x14ac:dyDescent="0.25">
      <c r="A29" s="78" t="s">
        <v>30</v>
      </c>
      <c r="B29" s="78" t="s">
        <v>383</v>
      </c>
      <c r="C29" s="78" t="s">
        <v>385</v>
      </c>
    </row>
    <row r="30" spans="1:3" x14ac:dyDescent="0.25">
      <c r="A30" s="78" t="s">
        <v>17</v>
      </c>
      <c r="B30" s="78" t="s">
        <v>383</v>
      </c>
      <c r="C30" s="78" t="s">
        <v>385</v>
      </c>
    </row>
    <row r="31" spans="1:3" x14ac:dyDescent="0.25">
      <c r="A31" s="78" t="s">
        <v>390</v>
      </c>
      <c r="B31" s="78" t="s">
        <v>383</v>
      </c>
      <c r="C31" s="78" t="s">
        <v>385</v>
      </c>
    </row>
    <row r="32" spans="1:3" x14ac:dyDescent="0.25">
      <c r="A32" s="78" t="s">
        <v>34</v>
      </c>
      <c r="B32" s="78" t="s">
        <v>383</v>
      </c>
      <c r="C32" s="78" t="s">
        <v>385</v>
      </c>
    </row>
    <row r="33" spans="1:3" x14ac:dyDescent="0.25">
      <c r="A33" s="78" t="s">
        <v>443</v>
      </c>
      <c r="B33" s="78" t="s">
        <v>383</v>
      </c>
      <c r="C33" s="78" t="s">
        <v>385</v>
      </c>
    </row>
    <row r="34" spans="1:3" x14ac:dyDescent="0.25">
      <c r="A34" s="78" t="s">
        <v>78</v>
      </c>
      <c r="B34" s="78" t="s">
        <v>383</v>
      </c>
      <c r="C34" s="78" t="s">
        <v>385</v>
      </c>
    </row>
    <row r="35" spans="1:3" x14ac:dyDescent="0.25">
      <c r="A35" s="78" t="s">
        <v>24</v>
      </c>
      <c r="B35" s="78" t="s">
        <v>383</v>
      </c>
      <c r="C35" s="78" t="s">
        <v>385</v>
      </c>
    </row>
    <row r="36" spans="1:3" x14ac:dyDescent="0.25">
      <c r="A36" s="78" t="s">
        <v>460</v>
      </c>
      <c r="B36" s="78" t="s">
        <v>383</v>
      </c>
      <c r="C36" s="78" t="s">
        <v>385</v>
      </c>
    </row>
    <row r="37" spans="1:3" x14ac:dyDescent="0.25">
      <c r="A37" s="78" t="s">
        <v>32</v>
      </c>
      <c r="B37" s="78" t="s">
        <v>383</v>
      </c>
      <c r="C37" s="78" t="s">
        <v>385</v>
      </c>
    </row>
    <row r="38" spans="1:3" x14ac:dyDescent="0.25">
      <c r="A38" s="78" t="s">
        <v>29</v>
      </c>
      <c r="B38" s="78" t="s">
        <v>383</v>
      </c>
      <c r="C38" s="78" t="s">
        <v>385</v>
      </c>
    </row>
    <row r="39" spans="1:3" x14ac:dyDescent="0.25">
      <c r="A39" s="78" t="s">
        <v>18</v>
      </c>
      <c r="B39" s="78" t="s">
        <v>383</v>
      </c>
      <c r="C39" s="78" t="s">
        <v>385</v>
      </c>
    </row>
    <row r="40" spans="1:3" x14ac:dyDescent="0.25">
      <c r="A40" s="78" t="s">
        <v>442</v>
      </c>
      <c r="B40" s="78" t="s">
        <v>383</v>
      </c>
      <c r="C40" s="78" t="s">
        <v>385</v>
      </c>
    </row>
    <row r="41" spans="1:3" x14ac:dyDescent="0.25">
      <c r="A41" s="78" t="s">
        <v>66</v>
      </c>
      <c r="B41" s="78" t="s">
        <v>383</v>
      </c>
      <c r="C41" s="78" t="s">
        <v>385</v>
      </c>
    </row>
    <row r="42" spans="1:3" x14ac:dyDescent="0.25">
      <c r="A42" s="78" t="s">
        <v>444</v>
      </c>
      <c r="B42" s="78" t="s">
        <v>383</v>
      </c>
      <c r="C42" s="78" t="s">
        <v>385</v>
      </c>
    </row>
    <row r="43" spans="1:3" x14ac:dyDescent="0.25">
      <c r="A43" s="78" t="s">
        <v>19</v>
      </c>
      <c r="B43" s="78" t="s">
        <v>383</v>
      </c>
      <c r="C43" s="78" t="s">
        <v>385</v>
      </c>
    </row>
    <row r="44" spans="1:3" x14ac:dyDescent="0.25">
      <c r="A44" s="78" t="s">
        <v>77</v>
      </c>
      <c r="B44" s="78" t="s">
        <v>383</v>
      </c>
      <c r="C44" s="78" t="s">
        <v>385</v>
      </c>
    </row>
    <row r="45" spans="1:3" x14ac:dyDescent="0.25">
      <c r="A45" s="78" t="s">
        <v>2</v>
      </c>
      <c r="B45" s="78" t="s">
        <v>383</v>
      </c>
      <c r="C45" s="78" t="s">
        <v>385</v>
      </c>
    </row>
    <row r="46" spans="1:3" x14ac:dyDescent="0.25">
      <c r="A46" s="78" t="s">
        <v>20</v>
      </c>
      <c r="B46" s="78" t="s">
        <v>383</v>
      </c>
      <c r="C46" s="78" t="s">
        <v>385</v>
      </c>
    </row>
    <row r="47" spans="1:3" x14ac:dyDescent="0.25">
      <c r="A47" s="78" t="s">
        <v>0</v>
      </c>
      <c r="B47" s="78" t="s">
        <v>383</v>
      </c>
      <c r="C47" s="78" t="s">
        <v>385</v>
      </c>
    </row>
    <row r="48" spans="1:3" x14ac:dyDescent="0.25">
      <c r="A48" s="78" t="s">
        <v>1</v>
      </c>
      <c r="B48" s="78" t="s">
        <v>383</v>
      </c>
      <c r="C48" s="78" t="s">
        <v>385</v>
      </c>
    </row>
    <row r="49" spans="1:3" x14ac:dyDescent="0.25">
      <c r="A49" s="78" t="s">
        <v>28</v>
      </c>
      <c r="B49" s="78" t="s">
        <v>383</v>
      </c>
      <c r="C49" s="78" t="s">
        <v>385</v>
      </c>
    </row>
    <row r="50" spans="1:3" x14ac:dyDescent="0.25">
      <c r="A50" s="78" t="s">
        <v>3</v>
      </c>
      <c r="B50" s="78" t="s">
        <v>383</v>
      </c>
      <c r="C50" s="78" t="s">
        <v>385</v>
      </c>
    </row>
    <row r="51" spans="1:3" x14ac:dyDescent="0.25">
      <c r="A51" s="78" t="s">
        <v>319</v>
      </c>
      <c r="B51" s="78" t="s">
        <v>383</v>
      </c>
      <c r="C51" s="78" t="s">
        <v>385</v>
      </c>
    </row>
    <row r="52" spans="1:3" x14ac:dyDescent="0.25">
      <c r="A52" s="78" t="s">
        <v>314</v>
      </c>
      <c r="B52" s="78" t="s">
        <v>383</v>
      </c>
      <c r="C52" s="78" t="s">
        <v>385</v>
      </c>
    </row>
    <row r="53" spans="1:3" x14ac:dyDescent="0.25">
      <c r="A53" s="78" t="s">
        <v>448</v>
      </c>
      <c r="B53" s="78" t="s">
        <v>383</v>
      </c>
      <c r="C53" s="78" t="s">
        <v>385</v>
      </c>
    </row>
    <row r="54" spans="1:3" x14ac:dyDescent="0.25">
      <c r="A54" s="78" t="s">
        <v>59</v>
      </c>
      <c r="B54" s="78" t="s">
        <v>383</v>
      </c>
      <c r="C54" s="78" t="s">
        <v>385</v>
      </c>
    </row>
    <row r="55" spans="1:3" x14ac:dyDescent="0.25">
      <c r="A55" s="78" t="s">
        <v>445</v>
      </c>
      <c r="B55" s="78" t="s">
        <v>383</v>
      </c>
      <c r="C55" s="78" t="s">
        <v>385</v>
      </c>
    </row>
    <row r="56" spans="1:3" x14ac:dyDescent="0.25">
      <c r="A56" s="78" t="s">
        <v>70</v>
      </c>
      <c r="B56" s="78" t="s">
        <v>383</v>
      </c>
      <c r="C56" s="78" t="s">
        <v>385</v>
      </c>
    </row>
    <row r="57" spans="1:3" x14ac:dyDescent="0.25">
      <c r="A57" s="78" t="s">
        <v>81</v>
      </c>
      <c r="B57" s="78" t="s">
        <v>383</v>
      </c>
      <c r="C57" s="78" t="s">
        <v>385</v>
      </c>
    </row>
    <row r="58" spans="1:3" x14ac:dyDescent="0.25">
      <c r="A58" s="78" t="s">
        <v>69</v>
      </c>
      <c r="B58" s="78" t="s">
        <v>383</v>
      </c>
      <c r="C58" s="78" t="s">
        <v>385</v>
      </c>
    </row>
    <row r="59" spans="1:3" x14ac:dyDescent="0.25">
      <c r="A59" s="78" t="s">
        <v>8</v>
      </c>
      <c r="B59" s="78" t="s">
        <v>383</v>
      </c>
      <c r="C59" s="78" t="s">
        <v>385</v>
      </c>
    </row>
    <row r="60" spans="1:3" x14ac:dyDescent="0.25">
      <c r="A60" s="78" t="s">
        <v>26</v>
      </c>
      <c r="B60" s="78" t="s">
        <v>383</v>
      </c>
      <c r="C60" s="78" t="s">
        <v>385</v>
      </c>
    </row>
    <row r="61" spans="1:3" x14ac:dyDescent="0.25">
      <c r="A61" s="78" t="s">
        <v>63</v>
      </c>
      <c r="B61" s="78" t="s">
        <v>383</v>
      </c>
      <c r="C61" s="78" t="s">
        <v>385</v>
      </c>
    </row>
    <row r="62" spans="1:3" x14ac:dyDescent="0.25">
      <c r="A62" s="78" t="s">
        <v>79</v>
      </c>
      <c r="B62" s="78" t="s">
        <v>383</v>
      </c>
      <c r="C62" s="78" t="s">
        <v>385</v>
      </c>
    </row>
    <row r="63" spans="1:3" x14ac:dyDescent="0.25">
      <c r="A63" s="78" t="s">
        <v>4</v>
      </c>
      <c r="B63" s="78" t="s">
        <v>383</v>
      </c>
      <c r="C63" s="78" t="s">
        <v>385</v>
      </c>
    </row>
    <row r="64" spans="1:3" x14ac:dyDescent="0.25">
      <c r="A64" s="78" t="s">
        <v>21</v>
      </c>
      <c r="B64" s="78" t="s">
        <v>383</v>
      </c>
      <c r="C64" s="78" t="s">
        <v>385</v>
      </c>
    </row>
    <row r="65" spans="1:3" x14ac:dyDescent="0.25">
      <c r="A65" s="78" t="s">
        <v>27</v>
      </c>
      <c r="B65" s="78" t="s">
        <v>383</v>
      </c>
      <c r="C65" s="78" t="s">
        <v>385</v>
      </c>
    </row>
    <row r="66" spans="1:3" x14ac:dyDescent="0.25">
      <c r="A66" s="78" t="s">
        <v>433</v>
      </c>
      <c r="B66" s="78" t="s">
        <v>383</v>
      </c>
      <c r="C66" s="78" t="s">
        <v>385</v>
      </c>
    </row>
    <row r="67" spans="1:3" x14ac:dyDescent="0.25">
      <c r="A67" s="78" t="s">
        <v>71</v>
      </c>
      <c r="B67" s="78" t="s">
        <v>383</v>
      </c>
      <c r="C67" s="78" t="s">
        <v>385</v>
      </c>
    </row>
    <row r="68" spans="1:3" x14ac:dyDescent="0.25">
      <c r="A68" s="78" t="s">
        <v>7</v>
      </c>
      <c r="B68" s="78" t="s">
        <v>383</v>
      </c>
      <c r="C68" s="78" t="s">
        <v>385</v>
      </c>
    </row>
    <row r="69" spans="1:3" x14ac:dyDescent="0.25">
      <c r="A69" s="78" t="s">
        <v>74</v>
      </c>
      <c r="B69" s="78" t="s">
        <v>383</v>
      </c>
      <c r="C69" s="78" t="s">
        <v>385</v>
      </c>
    </row>
    <row r="70" spans="1:3" x14ac:dyDescent="0.25">
      <c r="A70" s="78" t="s">
        <v>5</v>
      </c>
      <c r="B70" s="78" t="s">
        <v>383</v>
      </c>
      <c r="C70" s="78" t="s">
        <v>385</v>
      </c>
    </row>
    <row r="71" spans="1:3" x14ac:dyDescent="0.25">
      <c r="A71" s="78" t="s">
        <v>315</v>
      </c>
      <c r="B71" s="78" t="s">
        <v>383</v>
      </c>
      <c r="C71" s="78" t="s">
        <v>385</v>
      </c>
    </row>
    <row r="72" spans="1:3" x14ac:dyDescent="0.25">
      <c r="A72" s="78" t="s">
        <v>441</v>
      </c>
      <c r="B72" s="78" t="s">
        <v>383</v>
      </c>
      <c r="C72" s="78" t="s">
        <v>385</v>
      </c>
    </row>
    <row r="73" spans="1:3" x14ac:dyDescent="0.25">
      <c r="A73" s="78" t="s">
        <v>72</v>
      </c>
      <c r="B73" s="78" t="s">
        <v>383</v>
      </c>
      <c r="C73" s="78" t="s">
        <v>385</v>
      </c>
    </row>
    <row r="74" spans="1:3" x14ac:dyDescent="0.25">
      <c r="A74" s="78" t="s">
        <v>22</v>
      </c>
      <c r="B74" s="78" t="s">
        <v>383</v>
      </c>
      <c r="C74" s="78" t="s">
        <v>385</v>
      </c>
    </row>
    <row r="75" spans="1:3" x14ac:dyDescent="0.25">
      <c r="A75" s="78" t="s">
        <v>75</v>
      </c>
      <c r="B75" s="78" t="s">
        <v>383</v>
      </c>
      <c r="C75" s="78" t="s">
        <v>385</v>
      </c>
    </row>
    <row r="76" spans="1:3" x14ac:dyDescent="0.25">
      <c r="A76" s="77" t="s">
        <v>31</v>
      </c>
      <c r="B76" s="78" t="s">
        <v>383</v>
      </c>
      <c r="C76" s="78" t="s">
        <v>385</v>
      </c>
    </row>
    <row r="77" spans="1:3" x14ac:dyDescent="0.25">
      <c r="A77" s="77" t="s">
        <v>47</v>
      </c>
      <c r="B77" s="77" t="s">
        <v>386</v>
      </c>
      <c r="C77" s="77" t="s">
        <v>387</v>
      </c>
    </row>
    <row r="78" spans="1:3" x14ac:dyDescent="0.25">
      <c r="A78" s="77" t="s">
        <v>46</v>
      </c>
      <c r="B78" s="77" t="s">
        <v>386</v>
      </c>
      <c r="C78" s="77" t="s">
        <v>387</v>
      </c>
    </row>
    <row r="79" spans="1:3" x14ac:dyDescent="0.25">
      <c r="A79" s="77" t="s">
        <v>48</v>
      </c>
      <c r="B79" s="77" t="s">
        <v>386</v>
      </c>
      <c r="C79" s="77" t="s">
        <v>387</v>
      </c>
    </row>
    <row r="80" spans="1:3" x14ac:dyDescent="0.25">
      <c r="A80" s="77" t="s">
        <v>49</v>
      </c>
      <c r="B80" s="77" t="s">
        <v>386</v>
      </c>
      <c r="C80" s="77" t="s">
        <v>387</v>
      </c>
    </row>
    <row r="81" spans="1:3" x14ac:dyDescent="0.25">
      <c r="A81" s="77" t="s">
        <v>50</v>
      </c>
      <c r="B81" s="77" t="s">
        <v>386</v>
      </c>
      <c r="C81" s="77" t="s">
        <v>387</v>
      </c>
    </row>
    <row r="82" spans="1:3" x14ac:dyDescent="0.25">
      <c r="A82" s="77" t="s">
        <v>51</v>
      </c>
      <c r="B82" s="77" t="s">
        <v>386</v>
      </c>
      <c r="C82" s="77" t="s">
        <v>387</v>
      </c>
    </row>
    <row r="83" spans="1:3" x14ac:dyDescent="0.25">
      <c r="A83" s="77" t="s">
        <v>52</v>
      </c>
      <c r="B83" s="77" t="s">
        <v>386</v>
      </c>
      <c r="C83" s="77" t="s">
        <v>387</v>
      </c>
    </row>
    <row r="84" spans="1:3" x14ac:dyDescent="0.25">
      <c r="A84" s="77" t="s">
        <v>53</v>
      </c>
      <c r="B84" s="77" t="s">
        <v>386</v>
      </c>
      <c r="C84" s="77" t="s">
        <v>387</v>
      </c>
    </row>
    <row r="85" spans="1:3" x14ac:dyDescent="0.25">
      <c r="A85" s="77" t="s">
        <v>54</v>
      </c>
      <c r="B85" s="77" t="s">
        <v>386</v>
      </c>
      <c r="C85" s="77" t="s">
        <v>387</v>
      </c>
    </row>
    <row r="86" spans="1:3" x14ac:dyDescent="0.25">
      <c r="A86" s="77" t="s">
        <v>55</v>
      </c>
      <c r="B86" s="77" t="s">
        <v>388</v>
      </c>
      <c r="C86" s="77" t="s">
        <v>387</v>
      </c>
    </row>
    <row r="87" spans="1:3" x14ac:dyDescent="0.25">
      <c r="A87" s="77" t="s">
        <v>56</v>
      </c>
      <c r="B87" s="77" t="s">
        <v>386</v>
      </c>
      <c r="C87" s="77" t="s">
        <v>387</v>
      </c>
    </row>
    <row r="88" spans="1:3" x14ac:dyDescent="0.25">
      <c r="A88" s="77" t="s">
        <v>57</v>
      </c>
      <c r="B88" s="78" t="s">
        <v>386</v>
      </c>
      <c r="C88" s="78" t="s">
        <v>387</v>
      </c>
    </row>
    <row r="89" spans="1:3" x14ac:dyDescent="0.25">
      <c r="A89" s="77" t="s">
        <v>36</v>
      </c>
      <c r="B89" s="78" t="s">
        <v>389</v>
      </c>
      <c r="C89" s="78" t="s">
        <v>387</v>
      </c>
    </row>
    <row r="90" spans="1:3" x14ac:dyDescent="0.25">
      <c r="A90" s="77" t="s">
        <v>37</v>
      </c>
      <c r="B90" s="78" t="s">
        <v>389</v>
      </c>
      <c r="C90" s="78" t="s">
        <v>387</v>
      </c>
    </row>
    <row r="91" spans="1:3" x14ac:dyDescent="0.25">
      <c r="A91" s="77" t="s">
        <v>45</v>
      </c>
      <c r="B91" s="77" t="s">
        <v>389</v>
      </c>
      <c r="C91" s="77" t="s">
        <v>387</v>
      </c>
    </row>
    <row r="92" spans="1:3" x14ac:dyDescent="0.25">
      <c r="A92" s="77" t="s">
        <v>38</v>
      </c>
      <c r="B92" s="77" t="s">
        <v>389</v>
      </c>
      <c r="C92" s="77" t="s">
        <v>387</v>
      </c>
    </row>
    <row r="93" spans="1:3" x14ac:dyDescent="0.25">
      <c r="A93" s="77" t="s">
        <v>39</v>
      </c>
      <c r="B93" s="78" t="s">
        <v>389</v>
      </c>
      <c r="C93" s="78" t="s">
        <v>387</v>
      </c>
    </row>
    <row r="94" spans="1:3" x14ac:dyDescent="0.25">
      <c r="A94" s="77" t="s">
        <v>40</v>
      </c>
      <c r="B94" s="78" t="s">
        <v>389</v>
      </c>
      <c r="C94" s="78" t="s">
        <v>387</v>
      </c>
    </row>
    <row r="95" spans="1:3" s="78" customFormat="1" x14ac:dyDescent="0.25">
      <c r="A95" s="78" t="s">
        <v>451</v>
      </c>
      <c r="B95" s="78" t="s">
        <v>389</v>
      </c>
      <c r="C95" s="78" t="s">
        <v>387</v>
      </c>
    </row>
    <row r="96" spans="1:3" s="78" customFormat="1" x14ac:dyDescent="0.25">
      <c r="A96" s="78" t="s">
        <v>450</v>
      </c>
      <c r="B96" s="78" t="s">
        <v>389</v>
      </c>
      <c r="C96" s="78" t="s">
        <v>387</v>
      </c>
    </row>
    <row r="97" spans="1:3" x14ac:dyDescent="0.25">
      <c r="A97" t="s">
        <v>431</v>
      </c>
      <c r="B97" s="78" t="s">
        <v>383</v>
      </c>
      <c r="C97" s="78" t="s">
        <v>385</v>
      </c>
    </row>
    <row r="98" spans="1:3" x14ac:dyDescent="0.25">
      <c r="A98" t="s">
        <v>42</v>
      </c>
      <c r="B98" s="78" t="s">
        <v>389</v>
      </c>
      <c r="C98" s="78" t="s">
        <v>387</v>
      </c>
    </row>
    <row r="99" spans="1:3" x14ac:dyDescent="0.25">
      <c r="A99" t="s">
        <v>43</v>
      </c>
      <c r="B99" s="78" t="s">
        <v>389</v>
      </c>
      <c r="C99" s="78" t="s">
        <v>387</v>
      </c>
    </row>
    <row r="100" spans="1:3" x14ac:dyDescent="0.25">
      <c r="A100" t="s">
        <v>41</v>
      </c>
      <c r="B100" t="s">
        <v>389</v>
      </c>
      <c r="C100" t="s">
        <v>387</v>
      </c>
    </row>
    <row r="101" spans="1:3" x14ac:dyDescent="0.25">
      <c r="A101" t="s">
        <v>44</v>
      </c>
      <c r="B101" t="s">
        <v>389</v>
      </c>
      <c r="C101" t="s">
        <v>387</v>
      </c>
    </row>
    <row r="102" spans="1:3" x14ac:dyDescent="0.25">
      <c r="A102" t="s">
        <v>432</v>
      </c>
      <c r="B102" t="s">
        <v>389</v>
      </c>
      <c r="C102" t="s">
        <v>387</v>
      </c>
    </row>
    <row r="103" spans="1:3" x14ac:dyDescent="0.25">
      <c r="A103" t="s">
        <v>64</v>
      </c>
      <c r="B103" t="s">
        <v>389</v>
      </c>
      <c r="C103" t="s">
        <v>387</v>
      </c>
    </row>
    <row r="104" spans="1:3" x14ac:dyDescent="0.25">
      <c r="A104" t="s">
        <v>67</v>
      </c>
      <c r="B104" t="s">
        <v>386</v>
      </c>
      <c r="C104" t="s">
        <v>387</v>
      </c>
    </row>
    <row r="105" spans="1:3" x14ac:dyDescent="0.25">
      <c r="A105" t="s">
        <v>68</v>
      </c>
      <c r="B105" s="78" t="s">
        <v>386</v>
      </c>
      <c r="C105" s="78" t="s">
        <v>387</v>
      </c>
    </row>
    <row r="106" spans="1:3" x14ac:dyDescent="0.25">
      <c r="A106" t="s">
        <v>73</v>
      </c>
      <c r="B106" s="78" t="s">
        <v>386</v>
      </c>
      <c r="C106" s="78" t="s">
        <v>387</v>
      </c>
    </row>
    <row r="107" spans="1:3" x14ac:dyDescent="0.25">
      <c r="A107" t="s">
        <v>472</v>
      </c>
      <c r="B107" s="78" t="s">
        <v>389</v>
      </c>
      <c r="C107" s="78" t="s">
        <v>387</v>
      </c>
    </row>
    <row r="108" spans="1:3" x14ac:dyDescent="0.25">
      <c r="A108" t="s">
        <v>447</v>
      </c>
      <c r="B108" s="78" t="s">
        <v>389</v>
      </c>
      <c r="C108" s="78" t="s">
        <v>387</v>
      </c>
    </row>
    <row r="109" spans="1:3" x14ac:dyDescent="0.25">
      <c r="A109" t="s">
        <v>452</v>
      </c>
      <c r="B109" s="78" t="s">
        <v>383</v>
      </c>
      <c r="C109" s="78" t="s">
        <v>385</v>
      </c>
    </row>
    <row r="110" spans="1:3" x14ac:dyDescent="0.25">
      <c r="A110" t="s">
        <v>456</v>
      </c>
      <c r="B110" s="78" t="s">
        <v>383</v>
      </c>
      <c r="C110" s="78" t="s">
        <v>385</v>
      </c>
    </row>
    <row r="111" spans="1:3" x14ac:dyDescent="0.25">
      <c r="A111" t="s">
        <v>459</v>
      </c>
      <c r="B111" s="78" t="s">
        <v>386</v>
      </c>
      <c r="C111" s="78" t="s">
        <v>387</v>
      </c>
    </row>
    <row r="112" spans="1:3" x14ac:dyDescent="0.25">
      <c r="A112" t="s">
        <v>464</v>
      </c>
      <c r="B112" s="78" t="s">
        <v>389</v>
      </c>
      <c r="C112" s="78" t="s">
        <v>387</v>
      </c>
    </row>
    <row r="113" spans="1:3" x14ac:dyDescent="0.25">
      <c r="A113" t="s">
        <v>461</v>
      </c>
      <c r="B113" s="78" t="s">
        <v>383</v>
      </c>
      <c r="C113" s="78" t="s">
        <v>385</v>
      </c>
    </row>
    <row r="114" spans="1:3" x14ac:dyDescent="0.25">
      <c r="A114" t="s">
        <v>462</v>
      </c>
      <c r="B114" s="78" t="s">
        <v>383</v>
      </c>
      <c r="C114" s="78" t="s">
        <v>385</v>
      </c>
    </row>
    <row r="115" spans="1:3" x14ac:dyDescent="0.25">
      <c r="A115" t="s">
        <v>463</v>
      </c>
      <c r="B115" s="78" t="s">
        <v>389</v>
      </c>
      <c r="C115" s="78" t="s">
        <v>387</v>
      </c>
    </row>
    <row r="116" spans="1:3" x14ac:dyDescent="0.25">
      <c r="A116" t="s">
        <v>466</v>
      </c>
      <c r="B116" s="78" t="s">
        <v>383</v>
      </c>
      <c r="C116" s="78" t="s">
        <v>385</v>
      </c>
    </row>
    <row r="117" spans="1:3" x14ac:dyDescent="0.25">
      <c r="A117" t="s">
        <v>475</v>
      </c>
      <c r="B117" s="78" t="s">
        <v>389</v>
      </c>
      <c r="C117" s="78" t="s">
        <v>387</v>
      </c>
    </row>
    <row r="118" spans="1:3" x14ac:dyDescent="0.25">
      <c r="A118" t="s">
        <v>473</v>
      </c>
      <c r="B118" s="78" t="s">
        <v>389</v>
      </c>
      <c r="C118" s="78" t="s">
        <v>387</v>
      </c>
    </row>
  </sheetData>
  <sortState ref="A2:C76">
    <sortCondition ref="A2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A27" sqref="A27"/>
    </sheetView>
  </sheetViews>
  <sheetFormatPr defaultRowHeight="15" x14ac:dyDescent="0.25"/>
  <cols>
    <col min="1" max="1" width="24.7109375" style="79" bestFit="1" customWidth="1"/>
    <col min="3" max="3" width="12.28515625" bestFit="1" customWidth="1"/>
  </cols>
  <sheetData>
    <row r="1" spans="1:3" x14ac:dyDescent="0.25">
      <c r="A1" s="79" t="s">
        <v>370</v>
      </c>
      <c r="B1" t="s">
        <v>369</v>
      </c>
      <c r="C1" t="s">
        <v>368</v>
      </c>
    </row>
    <row r="2" spans="1:3" x14ac:dyDescent="0.25">
      <c r="A2" s="79" t="s">
        <v>301</v>
      </c>
      <c r="B2" s="78" t="s">
        <v>391</v>
      </c>
      <c r="C2" s="78" t="s">
        <v>392</v>
      </c>
    </row>
    <row r="3" spans="1:3" x14ac:dyDescent="0.25">
      <c r="A3" s="79" t="s">
        <v>302</v>
      </c>
      <c r="B3" s="78" t="s">
        <v>391</v>
      </c>
      <c r="C3" s="78" t="s">
        <v>392</v>
      </c>
    </row>
    <row r="4" spans="1:3" x14ac:dyDescent="0.25">
      <c r="A4" s="79" t="s">
        <v>304</v>
      </c>
      <c r="B4" s="78" t="s">
        <v>393</v>
      </c>
      <c r="C4" s="78" t="s">
        <v>392</v>
      </c>
    </row>
    <row r="5" spans="1:3" x14ac:dyDescent="0.25">
      <c r="A5" s="79" t="s">
        <v>305</v>
      </c>
      <c r="B5" s="78" t="s">
        <v>393</v>
      </c>
      <c r="C5" s="78" t="s">
        <v>392</v>
      </c>
    </row>
    <row r="6" spans="1:3" x14ac:dyDescent="0.25">
      <c r="A6" s="79" t="s">
        <v>298</v>
      </c>
      <c r="B6" s="78" t="s">
        <v>394</v>
      </c>
      <c r="C6" s="78" t="s">
        <v>395</v>
      </c>
    </row>
    <row r="7" spans="1:3" x14ac:dyDescent="0.25">
      <c r="A7" s="79" t="s">
        <v>299</v>
      </c>
      <c r="B7" s="78" t="s">
        <v>394</v>
      </c>
      <c r="C7" s="78" t="s">
        <v>395</v>
      </c>
    </row>
    <row r="8" spans="1:3" x14ac:dyDescent="0.25">
      <c r="A8" s="79" t="s">
        <v>200</v>
      </c>
      <c r="B8" s="78" t="s">
        <v>383</v>
      </c>
      <c r="C8" s="78" t="s">
        <v>396</v>
      </c>
    </row>
    <row r="9" spans="1:3" x14ac:dyDescent="0.25">
      <c r="A9" s="79" t="s">
        <v>201</v>
      </c>
      <c r="B9" s="78" t="s">
        <v>383</v>
      </c>
      <c r="C9" s="78" t="s">
        <v>396</v>
      </c>
    </row>
    <row r="10" spans="1:3" x14ac:dyDescent="0.25">
      <c r="A10" s="79" t="s">
        <v>202</v>
      </c>
      <c r="B10" s="78" t="s">
        <v>383</v>
      </c>
      <c r="C10" s="78" t="s">
        <v>396</v>
      </c>
    </row>
    <row r="11" spans="1:3" x14ac:dyDescent="0.25">
      <c r="A11" s="79" t="s">
        <v>203</v>
      </c>
      <c r="B11" s="78" t="s">
        <v>383</v>
      </c>
      <c r="C11" s="78" t="s">
        <v>396</v>
      </c>
    </row>
    <row r="12" spans="1:3" x14ac:dyDescent="0.25">
      <c r="A12" s="79" t="s">
        <v>191</v>
      </c>
      <c r="B12" s="78" t="s">
        <v>383</v>
      </c>
      <c r="C12" s="78" t="s">
        <v>396</v>
      </c>
    </row>
    <row r="13" spans="1:3" x14ac:dyDescent="0.25">
      <c r="A13" s="79" t="s">
        <v>196</v>
      </c>
      <c r="B13" s="78" t="s">
        <v>383</v>
      </c>
      <c r="C13" s="78" t="s">
        <v>396</v>
      </c>
    </row>
    <row r="14" spans="1:3" x14ac:dyDescent="0.25">
      <c r="A14" s="79" t="s">
        <v>193</v>
      </c>
      <c r="B14" s="78" t="s">
        <v>383</v>
      </c>
      <c r="C14" s="78" t="s">
        <v>396</v>
      </c>
    </row>
    <row r="15" spans="1:3" x14ac:dyDescent="0.25">
      <c r="A15" s="79" t="s">
        <v>204</v>
      </c>
      <c r="B15" s="78" t="s">
        <v>383</v>
      </c>
      <c r="C15" s="78" t="s">
        <v>396</v>
      </c>
    </row>
    <row r="16" spans="1:3" x14ac:dyDescent="0.25">
      <c r="A16" s="79" t="s">
        <v>205</v>
      </c>
      <c r="B16" s="78" t="s">
        <v>383</v>
      </c>
      <c r="C16" s="78" t="s">
        <v>396</v>
      </c>
    </row>
    <row r="17" spans="1:3" x14ac:dyDescent="0.25">
      <c r="A17" s="79" t="s">
        <v>195</v>
      </c>
      <c r="B17" s="78" t="s">
        <v>383</v>
      </c>
      <c r="C17" s="78" t="s">
        <v>396</v>
      </c>
    </row>
    <row r="18" spans="1:3" x14ac:dyDescent="0.25">
      <c r="A18" s="79" t="s">
        <v>206</v>
      </c>
      <c r="B18" s="78" t="s">
        <v>383</v>
      </c>
      <c r="C18" s="78" t="s">
        <v>396</v>
      </c>
    </row>
    <row r="19" spans="1:3" x14ac:dyDescent="0.25">
      <c r="A19" s="79" t="s">
        <v>194</v>
      </c>
      <c r="B19" s="78" t="s">
        <v>383</v>
      </c>
      <c r="C19" s="78" t="s">
        <v>396</v>
      </c>
    </row>
    <row r="20" spans="1:3" x14ac:dyDescent="0.25">
      <c r="A20" s="79" t="s">
        <v>192</v>
      </c>
      <c r="B20" s="78" t="s">
        <v>383</v>
      </c>
      <c r="C20" s="78" t="s">
        <v>396</v>
      </c>
    </row>
    <row r="21" spans="1:3" x14ac:dyDescent="0.25">
      <c r="A21" s="79" t="s">
        <v>196</v>
      </c>
      <c r="B21" s="78" t="s">
        <v>383</v>
      </c>
      <c r="C21" s="78" t="s">
        <v>396</v>
      </c>
    </row>
    <row r="22" spans="1:3" x14ac:dyDescent="0.25">
      <c r="A22" s="79" t="s">
        <v>207</v>
      </c>
      <c r="B22" s="78" t="s">
        <v>383</v>
      </c>
      <c r="C22" s="78" t="s">
        <v>396</v>
      </c>
    </row>
    <row r="23" spans="1:3" x14ac:dyDescent="0.25">
      <c r="A23" s="79" t="s">
        <v>209</v>
      </c>
      <c r="B23" s="78" t="s">
        <v>381</v>
      </c>
      <c r="C23" s="78" t="s">
        <v>397</v>
      </c>
    </row>
    <row r="24" spans="1:3" x14ac:dyDescent="0.25">
      <c r="A24" s="79" t="s">
        <v>210</v>
      </c>
      <c r="B24" s="78" t="s">
        <v>381</v>
      </c>
      <c r="C24" s="78" t="s">
        <v>397</v>
      </c>
    </row>
    <row r="25" spans="1:3" x14ac:dyDescent="0.25">
      <c r="A25" s="79" t="s">
        <v>211</v>
      </c>
      <c r="B25" s="78" t="s">
        <v>381</v>
      </c>
      <c r="C25" s="78" t="s">
        <v>397</v>
      </c>
    </row>
    <row r="26" spans="1:3" x14ac:dyDescent="0.25">
      <c r="A26" s="79" t="s">
        <v>213</v>
      </c>
      <c r="B26" s="78" t="s">
        <v>393</v>
      </c>
      <c r="C26" s="78" t="s">
        <v>397</v>
      </c>
    </row>
    <row r="27" spans="1:3" x14ac:dyDescent="0.25">
      <c r="B27" s="78"/>
      <c r="C27" s="78"/>
    </row>
    <row r="28" spans="1:3" x14ac:dyDescent="0.25">
      <c r="A28" s="79" t="s">
        <v>398</v>
      </c>
      <c r="B28" t="s">
        <v>393</v>
      </c>
      <c r="C28" t="s">
        <v>399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20</vt:i4>
      </vt:variant>
      <vt:variant>
        <vt:lpstr>Névvel ellátott tartományok</vt:lpstr>
      </vt:variant>
      <vt:variant>
        <vt:i4>16</vt:i4>
      </vt:variant>
    </vt:vector>
  </HeadingPairs>
  <TitlesOfParts>
    <vt:vector size="36" baseType="lpstr">
      <vt:lpstr>Fabó Editnek</vt:lpstr>
      <vt:lpstr>Szakácsoknak</vt:lpstr>
      <vt:lpstr>Furugy</vt:lpstr>
      <vt:lpstr>Furugy összesen</vt:lpstr>
      <vt:lpstr>Szarvas</vt:lpstr>
      <vt:lpstr>Tanulók</vt:lpstr>
      <vt:lpstr>Szarvas összesen</vt:lpstr>
      <vt:lpstr>Középhalom</vt:lpstr>
      <vt:lpstr>Középhalom összesen</vt:lpstr>
      <vt:lpstr>Szent László</vt:lpstr>
      <vt:lpstr>Szent László összesen</vt:lpstr>
      <vt:lpstr>Csabacsűd</vt:lpstr>
      <vt:lpstr>Csabacsűd összesen</vt:lpstr>
      <vt:lpstr>Örménykút</vt:lpstr>
      <vt:lpstr>Örménykút összesen</vt:lpstr>
      <vt:lpstr>Vajda</vt:lpstr>
      <vt:lpstr>Vajda összesen</vt:lpstr>
      <vt:lpstr>Vajdanévsor</vt:lpstr>
      <vt:lpstr>Szarvasnévsor</vt:lpstr>
      <vt:lpstr>többinévsor</vt:lpstr>
      <vt:lpstr>Csabacsűd!Nyomtatási_cím</vt:lpstr>
      <vt:lpstr>'Csabacsűd összesen'!Nyomtatási_cím</vt:lpstr>
      <vt:lpstr>Furugy!Nyomtatási_cím</vt:lpstr>
      <vt:lpstr>'Furugy összesen'!Nyomtatási_cím</vt:lpstr>
      <vt:lpstr>Középhalom!Nyomtatási_cím</vt:lpstr>
      <vt:lpstr>'Középhalom összesen'!Nyomtatási_cím</vt:lpstr>
      <vt:lpstr>Örménykút!Nyomtatási_cím</vt:lpstr>
      <vt:lpstr>'Örménykút összesen'!Nyomtatási_cím</vt:lpstr>
      <vt:lpstr>Szarvas!Nyomtatási_cím</vt:lpstr>
      <vt:lpstr>'Szarvas összesen'!Nyomtatási_cím</vt:lpstr>
      <vt:lpstr>'Szent László'!Nyomtatási_cím</vt:lpstr>
      <vt:lpstr>'Szent László összesen'!Nyomtatási_cím</vt:lpstr>
      <vt:lpstr>Tanulók!Nyomtatási_cím</vt:lpstr>
      <vt:lpstr>Vajda!Nyomtatási_cím</vt:lpstr>
      <vt:lpstr>'Vajda összesen'!Nyomtatási_cím</vt:lpstr>
      <vt:lpstr>'Fabó Editnek'!Nyomtatási_terület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2020-01-02T08:31:11Z</dcterms:modified>
</cp:coreProperties>
</file>